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Schulz\AppData\Local\Microsoft\Windows\INetCache\Content.Outlook\2DQDOQ5M\"/>
    </mc:Choice>
  </mc:AlternateContent>
  <xr:revisionPtr revIDLastSave="0" documentId="8_{4106025A-AF73-416A-BEEE-51170A113FA0}" xr6:coauthVersionLast="47" xr6:coauthVersionMax="47" xr10:uidLastSave="{00000000-0000-0000-0000-000000000000}"/>
  <bookViews>
    <workbookView xWindow="-120" yWindow="-120" windowWidth="29040" windowHeight="15720" xr2:uid="{CA65873A-C34F-4BE4-9B36-6A188897A350}"/>
  </bookViews>
  <sheets>
    <sheet name="Dateneingabe" sheetId="1" r:id="rId1"/>
    <sheet name="Budgetsteigerung" sheetId="2" r:id="rId2"/>
    <sheet name="Anlage 1" sheetId="3" r:id="rId3"/>
    <sheet name="Pflegeassistenz"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5" i="1" l="1"/>
  <c r="D88" i="1" s="1"/>
  <c r="G31" i="1"/>
  <c r="G24" i="1"/>
  <c r="G7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Schulz, David (bpa)</author>
    <author>Kinder, Nathalie (bpa)</author>
  </authors>
  <commentList>
    <comment ref="A4" authorId="0" shapeId="0" xr:uid="{CA079C28-40A9-4C5B-B547-2E25F5DB865F}">
      <text>
        <r>
          <rPr>
            <b/>
            <sz val="9"/>
            <color indexed="81"/>
            <rFont val="Segoe UI"/>
            <charset val="1"/>
          </rPr>
          <t>Hinweis (bpa):</t>
        </r>
        <r>
          <rPr>
            <sz val="9"/>
            <color indexed="81"/>
            <rFont val="Segoe UI"/>
            <charset val="1"/>
          </rPr>
          <t xml:space="preserve">
Tragen Sie in den grünen Feldern der Zeilen 4 bis 8 die angeforderten Stamm- und Strukturdaten des ambulanten Pflegedienstes ein, für den der Vergütungsantrag gestellt wird.</t>
        </r>
      </text>
    </comment>
    <comment ref="C13" authorId="0" shapeId="0" xr:uid="{1CFED2BD-F474-4351-AE42-3AF8364F613F}">
      <text>
        <r>
          <rPr>
            <b/>
            <sz val="9"/>
            <color indexed="81"/>
            <rFont val="Segoe UI"/>
            <charset val="1"/>
          </rPr>
          <t>Hinweis (bpa):</t>
        </r>
        <r>
          <rPr>
            <sz val="9"/>
            <color indexed="81"/>
            <rFont val="Segoe UI"/>
            <charset val="1"/>
          </rPr>
          <t xml:space="preserve">
Wenn Sie ein einseitiges pauschales Angebot der Pflegegkassen annehmen wollen wählen Sie im Drop Down Menü die "Pauschalverhandlung" aus.</t>
        </r>
      </text>
    </comment>
    <comment ref="E16" authorId="1" shapeId="0" xr:uid="{22178730-4100-473A-8337-B2ED9364C7A7}">
      <text>
        <r>
          <rPr>
            <b/>
            <sz val="9"/>
            <color indexed="81"/>
            <rFont val="Segoe UI"/>
            <family val="2"/>
          </rPr>
          <t>Hinweis (bpa):</t>
        </r>
        <r>
          <rPr>
            <sz val="9"/>
            <color indexed="81"/>
            <rFont val="Segoe UI"/>
            <family val="2"/>
          </rPr>
          <t xml:space="preserve">
Es sind die Werte aus dem zurückliegenden Geschäftsjahr anzugeben (i.d.R. sollte dies der Zeitraum 01.01.2024 - 31.12.2024 sein).</t>
        </r>
      </text>
    </comment>
    <comment ref="E17" authorId="1" shapeId="0" xr:uid="{3BF1BEBB-1C0D-4A43-ACEE-A0332366739A}">
      <text>
        <r>
          <rPr>
            <b/>
            <sz val="9"/>
            <color indexed="81"/>
            <rFont val="Segoe UI"/>
            <family val="2"/>
          </rPr>
          <t>Hinweis (bpa):</t>
        </r>
        <r>
          <rPr>
            <sz val="9"/>
            <color indexed="81"/>
            <rFont val="Segoe UI"/>
            <family val="2"/>
          </rPr>
          <t xml:space="preserve">
Hier tragen Sie bei Annahme des einseitigen pauschalen Angebotes bei einer Tarifanlehnung bspw. an den TVöd oder BAT-KF als Vereinbarungszeitraum den 01.08.2025 bis 30.04.2026 ein ein. Bei Anlehnung an den AVR Caritas wäre dies bei Annahme des Pauschalangebotes der Vereinbarungszeitraum 01.08.2025 bis 31.01.2026. Sie finden die Laufzeiten der Angebote der Pflegekassen immer in den jeweiligen bpa Mitgliederinformationen. </t>
        </r>
      </text>
    </comment>
    <comment ref="C20" authorId="1" shapeId="0" xr:uid="{61554EAA-CEA3-4B4D-9FDD-DF37EE32C065}">
      <text>
        <r>
          <rPr>
            <b/>
            <sz val="9"/>
            <color indexed="81"/>
            <rFont val="Segoe UI"/>
            <family val="2"/>
          </rPr>
          <t>Hinweis (bpa):</t>
        </r>
        <r>
          <rPr>
            <sz val="9"/>
            <color indexed="81"/>
            <rFont val="Segoe UI"/>
            <family val="2"/>
          </rPr>
          <t xml:space="preserve">
Tragen Sie hier gemäß Ihre </t>
        </r>
        <r>
          <rPr>
            <b/>
            <sz val="9"/>
            <color indexed="81"/>
            <rFont val="Segoe UI"/>
            <family val="2"/>
          </rPr>
          <t xml:space="preserve">derzeit gültigen Vergütungsvereinbarung nach § 89 SGB XI </t>
        </r>
        <r>
          <rPr>
            <sz val="9"/>
            <color indexed="81"/>
            <rFont val="Segoe UI"/>
            <family val="2"/>
          </rPr>
          <t>den Punktwert (</t>
        </r>
        <r>
          <rPr>
            <b/>
            <sz val="9"/>
            <color indexed="81"/>
            <rFont val="Segoe UI"/>
            <family val="2"/>
          </rPr>
          <t>Angabe</t>
        </r>
        <r>
          <rPr>
            <sz val="9"/>
            <color indexed="81"/>
            <rFont val="Segoe UI"/>
            <family val="2"/>
          </rPr>
          <t xml:space="preserve"> </t>
        </r>
        <r>
          <rPr>
            <b/>
            <sz val="9"/>
            <color indexed="81"/>
            <rFont val="Segoe UI"/>
            <family val="2"/>
          </rPr>
          <t>ohne PflBG Zuschlag</t>
        </r>
        <r>
          <rPr>
            <sz val="9"/>
            <color indexed="81"/>
            <rFont val="Segoe UI"/>
            <family val="2"/>
          </rPr>
          <t xml:space="preserve">) und die aktuellen Vergütungen für LK 15 wie 15a ein. </t>
        </r>
      </text>
    </comment>
    <comment ref="C21" authorId="1" shapeId="0" xr:uid="{8A519DBD-734B-4F0E-BC3D-89552E230B1A}">
      <text>
        <r>
          <rPr>
            <b/>
            <sz val="9"/>
            <color indexed="81"/>
            <rFont val="Segoe UI"/>
            <family val="2"/>
          </rPr>
          <t>Hinweis (bpa):</t>
        </r>
        <r>
          <rPr>
            <sz val="9"/>
            <color indexed="81"/>
            <rFont val="Segoe UI"/>
            <family val="2"/>
          </rPr>
          <t xml:space="preserve">
Tragen Sie hier bitte Ihre </t>
        </r>
        <r>
          <rPr>
            <b/>
            <sz val="9"/>
            <color indexed="81"/>
            <rFont val="Segoe UI"/>
            <family val="2"/>
          </rPr>
          <t>Forderung</t>
        </r>
        <r>
          <rPr>
            <sz val="9"/>
            <color indexed="81"/>
            <rFont val="Segoe UI"/>
            <family val="2"/>
          </rPr>
          <t xml:space="preserve"> der </t>
        </r>
        <r>
          <rPr>
            <b/>
            <sz val="9"/>
            <color indexed="81"/>
            <rFont val="Segoe UI"/>
            <family val="2"/>
          </rPr>
          <t>neuen Vergütungswerte</t>
        </r>
        <r>
          <rPr>
            <sz val="9"/>
            <color indexed="81"/>
            <rFont val="Segoe UI"/>
            <family val="2"/>
          </rPr>
          <t xml:space="preserve"> (Punktwert, LK 15, 15a) ein. Den Punktwert auch hier ohne Zuschlag nach dem PflBG. Exemplarisch haben wir bereits die Vergütungswerte des einseitigen pauschalen Angebotes der Pflegekassen für den TVöD / BAT-KF eingetragen. Möchten Sie das pauschale Angebot bspw. für das rüE, AVR Caritas oder der diakonischen Tarifverträge annehmen, verwenden Sie bitte die hierfür angebotenen Vergütungswerte der Pflegekassen aus der entsprechenden bpa Mitgliederinformation.  Sind die forderungswerte höher als im Angebot der Pflegekassen, befinden Sie sich im Einzelverhandlungsverfahren (hier müsste oben bei der Verhandlungsart "Einzelverhandlung" ausgewählt werden; bitte beachten Sie, dass im Einzellverhandlungsverfahren andere Einreichungsfristen gelten). 
</t>
        </r>
      </text>
    </comment>
    <comment ref="F31" authorId="1" shapeId="0" xr:uid="{0C8B64D0-8A68-4581-A691-042BA32D028F}">
      <text>
        <r>
          <rPr>
            <b/>
            <sz val="9"/>
            <color indexed="81"/>
            <rFont val="Segoe UI"/>
            <family val="2"/>
          </rPr>
          <t>Hinweis (bpa):</t>
        </r>
        <r>
          <rPr>
            <sz val="9"/>
            <color indexed="81"/>
            <rFont val="Segoe UI"/>
            <family val="2"/>
          </rPr>
          <t xml:space="preserve">
In diese Zeilen sind die durchschnittlich pro Monat versorgten Patienten aus dem abgeschlossenen Geschäftsjahr nach Pflegegrad einzutragen. Ermitteln Sie dazu Ihre Patienten je Pflegegrad pro Monat, bilden Sie die Summe und teilen diese durch 12 Monate. Alternativ ist eine solche Statistik über die meisten Abrechnungs-/Dokumentationssysteme abrufbar.  </t>
        </r>
      </text>
    </comment>
    <comment ref="F34" authorId="1" shapeId="0" xr:uid="{2F64A98A-FE70-4FCD-AC6C-F6C5AB761914}">
      <text>
        <r>
          <rPr>
            <b/>
            <sz val="9"/>
            <color indexed="81"/>
            <rFont val="Segoe UI"/>
            <family val="2"/>
          </rPr>
          <t>Hinweis (bpa):</t>
        </r>
        <r>
          <rPr>
            <sz val="9"/>
            <color indexed="81"/>
            <rFont val="Segoe UI"/>
            <family val="2"/>
          </rPr>
          <t xml:space="preserve">
Es ist die Anzahl jedes LKs im abgeschlossenen Geschäftsjahr einzutragen. </t>
        </r>
      </text>
    </comment>
    <comment ref="F67" authorId="1" shapeId="0" xr:uid="{0D256510-717B-4DBF-BE4D-EFAE5F51B60D}">
      <text>
        <r>
          <rPr>
            <b/>
            <sz val="9"/>
            <color indexed="81"/>
            <rFont val="Segoe UI"/>
            <family val="2"/>
          </rPr>
          <t>Hinweis (bpa):</t>
        </r>
        <r>
          <rPr>
            <sz val="9"/>
            <color indexed="81"/>
            <rFont val="Segoe UI"/>
            <family val="2"/>
          </rPr>
          <t xml:space="preserve">
Für LK 31, 32 und 33 sind jeweils die Anzahl der Minuten im abgeschlossenen Geschäftsjahr anzugeben. </t>
        </r>
      </text>
    </comment>
    <comment ref="D80" authorId="1" shapeId="0" xr:uid="{6F0CDAA8-142B-4BC0-8D74-48D650EB49C2}">
      <text>
        <r>
          <rPr>
            <b/>
            <sz val="9"/>
            <color indexed="81"/>
            <rFont val="Segoe UI"/>
            <family val="2"/>
          </rPr>
          <t>Hinweis (bpa):</t>
        </r>
        <r>
          <rPr>
            <sz val="9"/>
            <color indexed="81"/>
            <rFont val="Segoe UI"/>
            <family val="2"/>
          </rPr>
          <t xml:space="preserve">
Hier wird die Anzahl der Beschäftigten angegeben, </t>
        </r>
        <r>
          <rPr>
            <b/>
            <sz val="9"/>
            <color indexed="81"/>
            <rFont val="Segoe UI"/>
            <family val="2"/>
          </rPr>
          <t>die die unter Punkt B eingetragenen Leistungen erwirtschaftet haben (Pflegesachleistungen im SGB XI)</t>
        </r>
        <r>
          <rPr>
            <sz val="9"/>
            <color indexed="81"/>
            <rFont val="Segoe UI"/>
            <family val="2"/>
          </rPr>
          <t xml:space="preserve">. Ermittelt wird der Durchschnitt der MitarbeiterInnen jeweils am Monatsende, umgerechnet in Vollzeitstellen (VK = Vollzeitkräfte).
</t>
        </r>
        <r>
          <rPr>
            <b/>
            <sz val="9"/>
            <color indexed="81"/>
            <rFont val="Segoe UI"/>
            <family val="2"/>
          </rPr>
          <t>Erläuterungen zur Berechnung:</t>
        </r>
        <r>
          <rPr>
            <sz val="9"/>
            <color indexed="81"/>
            <rFont val="Segoe UI"/>
            <family val="2"/>
          </rPr>
          <t xml:space="preserve">
Ihre MitarbeiterInnen erbringen in vielen Fällen nicht ausschließlich Pflegesachleistungen, sondern auch Leistungen im Bereich § 45b SGB XI, der Verhinderungspflege oder vor allem auch in der Behandlungspflege (SGB V). Diese Leistungen sollen hier nicht berücksichtigt werden. Da i.d.R. nicht für jeden Mitarbeitenden einzeln der Pflegesachleistungsanteil bestimmt werden kann, erläutern wir hier hilfsweise eine mögliche Vorgehensweise:
1. Ordnen Sie das gesamte Personal aus dem angelaufenen Geschäftsjahr den nebenstehenden Qualifikationen (3-jährig, 1-jähig usw.) zu.
Beispiel: Sie ermitteln insgesamt 10 Pflegefachkräfte in 2024.
2. Rechnen Sie die Anzahl der MitarbeiterInnen je Qualifikation in Vollzeitstellen um, z.B. zwei MitarbeiterInnen á 50%-Stelle im ganzen Jahr = 1 VK. 
Beispiel: Nach Umrechnung in VK ergeben 10 „halbe“ Stellen (=0,50 VK) nun 5 VK Pflegefachkräfte.
3. Ermitteln (ggf. schätzen) Sie nun das Verhältnis des Umsatzes der Pflegesachleistungen (Leistungen unter Punkt B) aus dem abgelaufenen Geschäftsjahr zum Gesamtumsatz in Prozent. 
Beispiel: Der Gesamtumsatz in 2024 betrug 500.000 €, davon waren 250.000 € Pflegesachleistungen = 50% Anteil am Gesamtumsatz 
4. Nun multiplizieren Sie die vorher ermittelten VK in jeder Qualifikationsgruppe mit 50%.
Beispiel: 5 VK x 50% = 2,5 Pflegefachkräfte</t>
        </r>
      </text>
    </comment>
    <comment ref="A100" authorId="1" shapeId="0" xr:uid="{2E174D76-191D-44E8-863C-BFB7F79EA068}">
      <text>
        <r>
          <rPr>
            <b/>
            <sz val="9"/>
            <color indexed="81"/>
            <rFont val="Segoe UI"/>
            <family val="2"/>
          </rPr>
          <t>Hinweis (bpa):</t>
        </r>
        <r>
          <rPr>
            <sz val="9"/>
            <color indexed="81"/>
            <rFont val="Segoe UI"/>
            <family val="2"/>
          </rPr>
          <t xml:space="preserve">
Bitte wählen Sie über das Dropdown-Menü die von Ihrem Dienst verwendete und im Versorgungsvertrag verankerte Tarifvariante nach der Tariftreuereglung aus (bspw. TVöD, rüE etc.)  </t>
        </r>
      </text>
    </comment>
    <comment ref="A102" authorId="1" shapeId="0" xr:uid="{5579A288-D7BE-4292-A8AE-30925B2DE2DC}">
      <text>
        <r>
          <rPr>
            <b/>
            <sz val="9"/>
            <color indexed="81"/>
            <rFont val="Segoe UI"/>
            <family val="2"/>
          </rPr>
          <t>Hinweis (bpa):</t>
        </r>
        <r>
          <rPr>
            <sz val="9"/>
            <color indexed="81"/>
            <rFont val="Segoe UI"/>
            <family val="2"/>
          </rPr>
          <t xml:space="preserve">
Bitte wählen Sie über das Dropdown-Menü aus, ob Sie Tarifanwender, Tarifanlehner oder Anwender des regional üblichen Entgelts sind.</t>
        </r>
      </text>
    </comment>
    <comment ref="D104" authorId="1" shapeId="0" xr:uid="{EFD70439-A873-47FA-BEAE-68BA5CCAA541}">
      <text>
        <r>
          <rPr>
            <b/>
            <sz val="9"/>
            <color indexed="81"/>
            <rFont val="Segoe UI"/>
            <family val="2"/>
          </rPr>
          <t>Hinweis (bpa):</t>
        </r>
        <r>
          <rPr>
            <sz val="9"/>
            <color indexed="81"/>
            <rFont val="Segoe UI"/>
            <family val="2"/>
          </rPr>
          <t xml:space="preserve">
Wählen Sie über das Dropdown-Menü die in Ihrem Unternehmen gültige regelmäßige wöchentliche Arbeitszeit an. </t>
        </r>
      </text>
    </comment>
    <comment ref="E112" authorId="1" shapeId="0" xr:uid="{9055AB64-B2E5-406F-8717-4A1792DC10FC}">
      <text>
        <r>
          <rPr>
            <b/>
            <sz val="9"/>
            <color indexed="81"/>
            <rFont val="Segoe UI"/>
            <family val="2"/>
          </rPr>
          <t>Hinweis (bpa):</t>
        </r>
        <r>
          <rPr>
            <sz val="9"/>
            <color indexed="81"/>
            <rFont val="Segoe UI"/>
            <family val="2"/>
          </rPr>
          <t xml:space="preserve">
In diesen Feldern sind die Kostenträger </t>
        </r>
        <r>
          <rPr>
            <b/>
            <sz val="9"/>
            <color indexed="81"/>
            <rFont val="Segoe UI"/>
            <family val="2"/>
          </rPr>
          <t>anzukreuzen</t>
        </r>
        <r>
          <rPr>
            <sz val="9"/>
            <color indexed="81"/>
            <rFont val="Segoe UI"/>
            <family val="2"/>
          </rPr>
          <t xml:space="preserve">, bei denen im abgeschlossenen Geschäftsjahr die Anzahl der Patienten mehr als 5% - gemessen an der Gesamtzahl aller Patienten - ausgemacht hat. </t>
        </r>
      </text>
    </comment>
    <comment ref="A124" authorId="0" shapeId="0" xr:uid="{82199663-0BB1-4E09-A6F1-EBFFEB64B640}">
      <text>
        <r>
          <rPr>
            <b/>
            <sz val="9"/>
            <color indexed="81"/>
            <rFont val="Segoe UI"/>
            <family val="2"/>
          </rPr>
          <t>Hinweis (bpa):</t>
        </r>
        <r>
          <rPr>
            <sz val="9"/>
            <color indexed="81"/>
            <rFont val="Segoe UI"/>
            <family val="2"/>
          </rPr>
          <t xml:space="preserve">
Das Berechnungsschema ist sowohl im </t>
        </r>
        <r>
          <rPr>
            <b/>
            <sz val="9"/>
            <color indexed="81"/>
            <rFont val="Segoe UI"/>
            <family val="2"/>
          </rPr>
          <t xml:space="preserve">Excel Format </t>
        </r>
        <r>
          <rPr>
            <sz val="9"/>
            <color indexed="81"/>
            <rFont val="Segoe UI"/>
            <family val="2"/>
          </rPr>
          <t xml:space="preserve">als auch </t>
        </r>
        <r>
          <rPr>
            <b/>
            <sz val="9"/>
            <color indexed="81"/>
            <rFont val="Segoe UI"/>
            <family val="2"/>
          </rPr>
          <t xml:space="preserve">zusätzlich mit Stempel und Unterschrift </t>
        </r>
        <r>
          <rPr>
            <sz val="9"/>
            <color indexed="81"/>
            <rFont val="Segoe UI"/>
            <family val="2"/>
          </rPr>
          <t xml:space="preserve">vom Einrichtungsträger bei der Pflegekasse per E-Mail einzureichen. Dies ist erforderlich, um die sachliche Richtigkeit der gemachten Angaben der Pflegekasse ggü. zu bestätigen. Dies kann bspw. im </t>
        </r>
        <r>
          <rPr>
            <b/>
            <sz val="9"/>
            <color indexed="81"/>
            <rFont val="Segoe UI"/>
            <family val="2"/>
          </rPr>
          <t xml:space="preserve">pdf Format sein. 
</t>
        </r>
        <r>
          <rPr>
            <sz val="9"/>
            <color indexed="81"/>
            <rFont val="Segoe UI"/>
            <family val="2"/>
          </rPr>
          <t xml:space="preserve">Bitte beachten Sie dabei, dass alle Tabellenblätter des Antrags in dem unterschriebenen pdf Dokument enthalten sind.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Schulz, David (bpa)</author>
    <author>Kinder, Nathalie (bpa)</author>
  </authors>
  <commentList>
    <comment ref="E54" authorId="0" shapeId="0" xr:uid="{902A7393-A1C4-4213-847C-1E35958EBCF5}">
      <text>
        <r>
          <rPr>
            <b/>
            <sz val="9"/>
            <color indexed="81"/>
            <rFont val="Segoe UI"/>
            <family val="2"/>
          </rPr>
          <t>Hinweis (bpa):</t>
        </r>
        <r>
          <rPr>
            <sz val="9"/>
            <color indexed="81"/>
            <rFont val="Segoe UI"/>
            <family val="2"/>
          </rPr>
          <t xml:space="preserve">
Das Pauschalverfahren bildet die aktuellen einseitigen Angebote der Kostenträger für den jeweiligen Tarife / AVR oder das regional übliches Entgelt ab. </t>
        </r>
      </text>
    </comment>
    <comment ref="H54" authorId="1" shapeId="0" xr:uid="{D6B87867-AA46-46CB-8CCC-B45CA96C03DF}">
      <text>
        <r>
          <rPr>
            <b/>
            <sz val="9"/>
            <color indexed="81"/>
            <rFont val="Segoe UI"/>
            <family val="2"/>
          </rPr>
          <t>Hinweis (bpa):</t>
        </r>
        <r>
          <rPr>
            <sz val="9"/>
            <color indexed="81"/>
            <rFont val="Segoe UI"/>
            <family val="2"/>
          </rPr>
          <t xml:space="preserve">
Dieses prospektive Budget errechnet sich aus der im Tabellenblatt "Dateneingabe" eingegebenen Vergütungsforderung im Vereinbarungszeitraum (Zeile 21, Spalten C, D, E). 
Um Ihre Gesamtkosten auskömmlich refinanziert zu bekommen, sollte die prospektive Höhe der Umsätze den von Ihnen kalkulierten prospektiven Gesamtkosten mindestens entsprechen. Bei einer Einzel-/Indivudualverhandlung können Sie den Wert aus Anlage 1 Zeile 37, Spalte H als Vergleichswert ansetzen. </t>
        </r>
      </text>
    </comment>
    <comment ref="K54" authorId="1" shapeId="0" xr:uid="{EF5552EA-9A4C-4BCD-B232-751B37D4A640}">
      <text>
        <r>
          <rPr>
            <b/>
            <sz val="9"/>
            <color indexed="81"/>
            <rFont val="Segoe UI"/>
            <family val="2"/>
          </rPr>
          <t>Hinweis (bpa):</t>
        </r>
        <r>
          <rPr>
            <sz val="9"/>
            <color indexed="81"/>
            <rFont val="Segoe UI"/>
            <family val="2"/>
          </rPr>
          <t xml:space="preserve">
Hier können Sie eine über das Pauschalangebot hinausgehende individuelle Kalkulation eingeben, die Ihnen z.B. einen Vergleich mit dem Pauschalangebot und einer von Ihnen eingegebenen Forderung ermöglicht. Forderung und individuelle Kalkulation können natürlich auch deckungsgleich sein.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Kinder, Nathalie (bpa)</author>
    <author>Schulz, David (bpa)</author>
  </authors>
  <commentList>
    <comment ref="G10" authorId="0" shapeId="0" xr:uid="{FAE62367-BE45-4AE0-9C47-EE18E3E9FADC}">
      <text>
        <r>
          <rPr>
            <b/>
            <sz val="9"/>
            <color indexed="81"/>
            <rFont val="Segoe UI"/>
            <family val="2"/>
          </rPr>
          <t xml:space="preserve">Hinweis (bpa): Nur einzugeben bei einer Einzelverhandlung! </t>
        </r>
        <r>
          <rPr>
            <sz val="9"/>
            <color indexed="81"/>
            <rFont val="Segoe UI"/>
            <family val="2"/>
          </rPr>
          <t xml:space="preserve">
Hier sind die </t>
        </r>
        <r>
          <rPr>
            <b/>
            <sz val="9"/>
            <color indexed="81"/>
            <rFont val="Segoe UI"/>
            <family val="2"/>
          </rPr>
          <t>durchschnittlichen prospektiven Arbeitgeberbruttopersonalkosten für die kommenden 12 Monate</t>
        </r>
        <r>
          <rPr>
            <sz val="9"/>
            <color indexed="81"/>
            <rFont val="Segoe UI"/>
            <family val="2"/>
          </rPr>
          <t xml:space="preserve"> (z.B. 01.01.2025 bis 31.12.2025) einzugeben. 
Bitte bedenken Sie bei den Angaben zu den durchschnittlichen AG-Brutto-Personalkosten in den einzelnen Qualifikationsgruppen, dass hier nicht nur die dem GVWG, sprich der Tariftreueregelung, unterliegenden Mitarbeitergruppen enthalten sind.  
</t>
        </r>
        <r>
          <rPr>
            <b/>
            <sz val="9"/>
            <color indexed="81"/>
            <rFont val="Segoe UI"/>
            <family val="2"/>
          </rPr>
          <t xml:space="preserve">Beispiel angelernte Hilfskräfte: </t>
        </r>
        <r>
          <rPr>
            <sz val="9"/>
            <color indexed="81"/>
            <rFont val="Segoe UI"/>
            <family val="2"/>
          </rPr>
          <t xml:space="preserve">
5 VK Hauswirtschaftskräfte = 39.000 Euro AG brutto je VK (keine Tariftreuepflicht)
5 VK ungelernte Pflegehilfskräfte = 49.800 Euro AG brutto je VK (nach GVWG)
Rechenweg: ((5 VK x 39.000 Euro) + (5 VK x 49.800 Euro)) / 10 VK = Ø 44.400 Euro je VK</t>
        </r>
      </text>
    </comment>
    <comment ref="D13" authorId="0" shapeId="0" xr:uid="{085F9CDD-A61E-46FB-8E51-C8D4707EAE72}">
      <text>
        <r>
          <rPr>
            <b/>
            <sz val="9"/>
            <color indexed="81"/>
            <rFont val="Segoe UI"/>
            <family val="2"/>
          </rPr>
          <t>Hinweis (bpa): Pflichtangaben beim Pauschalverfahren</t>
        </r>
        <r>
          <rPr>
            <sz val="9"/>
            <color indexed="81"/>
            <rFont val="Segoe UI"/>
            <family val="2"/>
          </rPr>
          <t xml:space="preserve">
Übertragen Sie hier die durchschnittlichen VK-Anteile aus dem Tabellenblatt "Dateneingabe" unter Punkt C (Die Eingaben müssen identisch sein). 
Beispiel: 1,00 VK PDL, SGB XI-Anteil des Dienstes 50% = Eingabe 0,50 VK. </t>
        </r>
      </text>
    </comment>
    <comment ref="E13" authorId="0" shapeId="0" xr:uid="{EF8F1BF9-F425-4C46-85F9-7213FD9A6A27}">
      <text>
        <r>
          <rPr>
            <b/>
            <sz val="9"/>
            <color indexed="81"/>
            <rFont val="Segoe UI"/>
            <family val="2"/>
          </rPr>
          <t>Hinweis (bpa): Pflichtangaben beim Pauschalverfahren</t>
        </r>
        <r>
          <rPr>
            <sz val="9"/>
            <color indexed="81"/>
            <rFont val="Segoe UI"/>
            <family val="2"/>
          </rPr>
          <t xml:space="preserve">
Geben Sie hier bitte die </t>
        </r>
        <r>
          <rPr>
            <b/>
            <sz val="9"/>
            <color indexed="81"/>
            <rFont val="Segoe UI"/>
            <family val="2"/>
          </rPr>
          <t>angefallenen durchschnittlichen Arbeitgeberbruttopersonalkosten</t>
        </r>
        <r>
          <rPr>
            <sz val="9"/>
            <color indexed="81"/>
            <rFont val="Segoe UI"/>
            <family val="2"/>
          </rPr>
          <t xml:space="preserve"> bezogen auf die durchschnittlichen VK-Anteile an. Beispiel: 1,00 VK PDL = 82.000 €, SGB XI-Anteil des Dienstes 50% = Eingabe 0,50 VK und 41.000 € Kosten </t>
        </r>
      </text>
    </comment>
    <comment ref="F13" authorId="1" shapeId="0" xr:uid="{18B18CB4-0DBD-4589-94C7-7830DBFAE5CD}">
      <text>
        <r>
          <rPr>
            <b/>
            <sz val="9"/>
            <color indexed="81"/>
            <rFont val="Segoe UI"/>
            <family val="2"/>
          </rPr>
          <t>Hinweis (bpa):</t>
        </r>
        <r>
          <rPr>
            <sz val="9"/>
            <color indexed="81"/>
            <rFont val="Segoe UI"/>
            <family val="2"/>
          </rPr>
          <t xml:space="preserve">
In dieswer Spalte werden druch Ihre Eingaben bei "VK" und "Kosten" automatisch die </t>
        </r>
        <r>
          <rPr>
            <b/>
            <sz val="9"/>
            <color indexed="81"/>
            <rFont val="Segoe UI"/>
            <family val="2"/>
          </rPr>
          <t>durchschnittlichen Bruttoarbeitgeberpersonalkosten</t>
        </r>
        <r>
          <rPr>
            <sz val="9"/>
            <color indexed="81"/>
            <rFont val="Segoe UI"/>
            <family val="2"/>
          </rPr>
          <t xml:space="preserve"> für </t>
        </r>
        <r>
          <rPr>
            <b/>
            <sz val="9"/>
            <color indexed="81"/>
            <rFont val="Segoe UI"/>
            <family val="2"/>
          </rPr>
          <t>eine VK i</t>
        </r>
        <r>
          <rPr>
            <sz val="9"/>
            <color indexed="81"/>
            <rFont val="Segoe UI"/>
            <family val="2"/>
          </rPr>
          <t>n der</t>
        </r>
        <r>
          <rPr>
            <b/>
            <sz val="9"/>
            <color indexed="81"/>
            <rFont val="Segoe UI"/>
            <family val="2"/>
          </rPr>
          <t xml:space="preserve"> jeweiligen Qualifikationsgruppe</t>
        </r>
        <r>
          <rPr>
            <sz val="9"/>
            <color indexed="81"/>
            <rFont val="Segoe UI"/>
            <family val="2"/>
          </rPr>
          <t xml:space="preserve"> berechnet.  Diese ermittelten Werte eignen sich gut, um nochmals vor Abgabe des Antrags bei der Pflegekasse, eine </t>
        </r>
        <r>
          <rPr>
            <b/>
            <sz val="9"/>
            <color indexed="81"/>
            <rFont val="Segoe UI"/>
            <family val="2"/>
          </rPr>
          <t xml:space="preserve">Plausbiliserung </t>
        </r>
        <r>
          <rPr>
            <sz val="9"/>
            <color indexed="81"/>
            <rFont val="Segoe UI"/>
            <family val="2"/>
          </rPr>
          <t xml:space="preserve">durchzuführen.   </t>
        </r>
      </text>
    </comment>
    <comment ref="G22" authorId="0" shapeId="0" xr:uid="{CF0B986B-3DD1-47C5-8E3F-6E2736B5B17A}">
      <text>
        <r>
          <rPr>
            <b/>
            <sz val="9"/>
            <color indexed="81"/>
            <rFont val="Segoe UI"/>
            <family val="2"/>
          </rPr>
          <t xml:space="preserve">Hinweis (bpa): Nur einzugeben bei einer Einzelverhandlung! </t>
        </r>
        <r>
          <rPr>
            <sz val="9"/>
            <color indexed="81"/>
            <rFont val="Segoe UI"/>
            <family val="2"/>
          </rPr>
          <t xml:space="preserve">
Kalkulieren Sie hier bitte Ihre entsprechenden prospektiven Sachkostenaufwendungen.</t>
        </r>
      </text>
    </comment>
    <comment ref="E24" authorId="1" shapeId="0" xr:uid="{0D73BFE9-9735-4A13-8702-072B04F3810E}">
      <text>
        <r>
          <rPr>
            <b/>
            <sz val="9"/>
            <color indexed="81"/>
            <rFont val="Segoe UI"/>
            <family val="2"/>
          </rPr>
          <t>Hinweis (bpa): Pflichtangabe beim Pauschalverfahren</t>
        </r>
        <r>
          <rPr>
            <sz val="9"/>
            <color indexed="81"/>
            <rFont val="Segoe UI"/>
            <family val="2"/>
          </rPr>
          <t xml:space="preserve">
Tragen Sie hier die Sachkosten aus dem abgeschlossenen Geschäftsjahr ein, die auf den unter "Dateneingabe" Teil B  (abgerechnete Leistungskomplexe) entfallen (nur Betriebskosten werden im Pflegesatz berücksichtigt; keine Investitionskosten wie bspw. Miete, Pacht und Leasing etc.). Als Abgrenzungsmöglichkeit der Sachkosten zu anderen Leistungsbereichen, bspw. zum SGB V Bereich etc., kann hier analog zum Bereich "Personal" der Umsatz als Kostenverteilschlüssel herangezogen werden (siehe oben bei Gewichtung Personalkosten).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Schulz, David (bpa)</author>
    <author>Kinder, Nathalie (bpa)</author>
  </authors>
  <commentList>
    <comment ref="A1" authorId="0" shapeId="0" xr:uid="{5348E34E-62BE-40F7-BDFB-1895F5C8CA70}">
      <text>
        <r>
          <rPr>
            <b/>
            <sz val="9"/>
            <color indexed="81"/>
            <rFont val="Segoe UI"/>
            <family val="2"/>
          </rPr>
          <t>Hinweis (bpa):</t>
        </r>
        <r>
          <rPr>
            <sz val="9"/>
            <color indexed="81"/>
            <rFont val="Segoe UI"/>
            <family val="2"/>
          </rPr>
          <t xml:space="preserve">
Sollten Sie in Ihrem ambulanten Pflegedienst </t>
        </r>
        <r>
          <rPr>
            <b/>
            <sz val="9"/>
            <color indexed="81"/>
            <rFont val="Segoe UI"/>
            <family val="2"/>
          </rPr>
          <t>einjährig examinierte Pflegefachassistenten</t>
        </r>
        <r>
          <rPr>
            <sz val="9"/>
            <color indexed="81"/>
            <rFont val="Segoe UI"/>
            <family val="2"/>
          </rPr>
          <t xml:space="preserve"> ausbildem, können Sie eine Refinanzierung über Ihren Punktwert im Rahmen der Vergütungsverhandlung bei der Pflegekasse beantragen. Sie erhalten sodann einen befristeten Punktwertaufschlag im Vergütungszeitraum. Eine Kopie des Ausbildungsvertrags muss als Nachweis mit zur Verfügung gestellt werden. haben Sie keine Pflegefachassistenten ausgebildet, sind hier keine Eingaben vorzunehmen. </t>
        </r>
      </text>
    </comment>
    <comment ref="E5" authorId="1" shapeId="0" xr:uid="{994DD01C-9261-443A-AD8B-2B4E31720989}">
      <text>
        <r>
          <rPr>
            <b/>
            <sz val="9"/>
            <color indexed="81"/>
            <rFont val="Segoe UI"/>
            <family val="2"/>
          </rPr>
          <t>Hinweis (bpa):</t>
        </r>
        <r>
          <rPr>
            <sz val="9"/>
            <color indexed="81"/>
            <rFont val="Segoe UI"/>
            <family val="2"/>
          </rPr>
          <t xml:space="preserve">
Geben Sie hier das monatliche Arbeitnehmer-Bruttogehalt welches Sie Ihren Auszubildenden zum:r Pflegefachassisten:in zahlen ein. </t>
        </r>
      </text>
    </comment>
    <comment ref="E6" authorId="1" shapeId="0" xr:uid="{C3796EED-B054-47CA-AAE0-F3A870CB4C08}">
      <text>
        <r>
          <rPr>
            <b/>
            <sz val="9"/>
            <color indexed="81"/>
            <rFont val="Segoe UI"/>
            <family val="2"/>
          </rPr>
          <t>Hinweis (bpa):</t>
        </r>
        <r>
          <rPr>
            <sz val="9"/>
            <color indexed="81"/>
            <rFont val="Segoe UI"/>
            <family val="2"/>
          </rPr>
          <t xml:space="preserve">
Wenn Sie Ihren Auszubildenden eine Jahressonderzahlung, z.B. in Form eines 13. Gehalts zahlen, hinterlegen Sie hier bitte den monatlichen Wert. Ansonsten lassen Sie das Feld bitte frei.  
</t>
        </r>
      </text>
    </comment>
    <comment ref="B17" authorId="0" shapeId="0" xr:uid="{E95E1A96-5B47-440C-9677-1D22D242CA2F}">
      <text>
        <r>
          <rPr>
            <b/>
            <sz val="9"/>
            <color indexed="81"/>
            <rFont val="Segoe UI"/>
            <family val="2"/>
          </rPr>
          <t>Hinweis (bpa):</t>
        </r>
        <r>
          <rPr>
            <sz val="9"/>
            <color indexed="81"/>
            <rFont val="Segoe UI"/>
            <family val="2"/>
          </rPr>
          <t xml:space="preserve">
Bei Ausbildung von Pflegefachassistenten die refinanziert werden sollen, müssen die grauen Felder ausgefüllt werden.</t>
        </r>
      </text>
    </comment>
    <comment ref="B32" authorId="0" shapeId="0" xr:uid="{53084141-739C-4A95-B4E5-1959059BDD6A}">
      <text>
        <r>
          <rPr>
            <b/>
            <sz val="9"/>
            <color indexed="81"/>
            <rFont val="Segoe UI"/>
            <family val="2"/>
          </rPr>
          <t>Hinweis (bpa):</t>
        </r>
        <r>
          <rPr>
            <sz val="9"/>
            <color indexed="81"/>
            <rFont val="Segoe UI"/>
            <family val="2"/>
          </rPr>
          <t xml:space="preserve">
Bei Ausbildung von Pflegefachassistenten, die in der letzten Vergütungsvereinbarung angegeben und somit bereits mit refinanziert wurden, müssen Angaben zu den Ausbildungsmonaten gemacht werden, in denen die Refinanzierung nicht erforderlich gewesen war (bspw. wegen Ausbildungsabbruch). </t>
        </r>
      </text>
    </comment>
  </commentList>
</comments>
</file>

<file path=xl/sharedStrings.xml><?xml version="1.0" encoding="utf-8"?>
<sst xmlns="http://schemas.openxmlformats.org/spreadsheetml/2006/main" count="417" uniqueCount="276">
  <si>
    <t>A. Angabe der Grunddaten</t>
  </si>
  <si>
    <t>Name und Anschrift des Trägers</t>
  </si>
  <si>
    <t>Name und Anschrift der Einrichtung</t>
  </si>
  <si>
    <t>IK-Nummer</t>
  </si>
  <si>
    <t>Kreis / kreisfreie Stadt:</t>
  </si>
  <si>
    <t>Mitglied im Verband:</t>
  </si>
  <si>
    <t>bpa</t>
  </si>
  <si>
    <t>Verhandlungsart</t>
  </si>
  <si>
    <t>Pauschalverhandlung</t>
  </si>
  <si>
    <t>von</t>
  </si>
  <si>
    <t>bis</t>
  </si>
  <si>
    <t>Erhebungszeitraum (letztes abgeschlossenes Geschäftsjahr):</t>
  </si>
  <si>
    <t>Vereinbarungszeitraum:</t>
  </si>
  <si>
    <t>Punktwert*</t>
  </si>
  <si>
    <t>LK 15</t>
  </si>
  <si>
    <t>LK 15a</t>
  </si>
  <si>
    <t>letzte Vereinbarung</t>
  </si>
  <si>
    <t>Forderung</t>
  </si>
  <si>
    <t>*ohne Ausbildungszuschlag gem. PflBG</t>
  </si>
  <si>
    <t>Begründung für die Forderung siehe ggf. Anlage 1</t>
  </si>
  <si>
    <t>B. Angabe der Leistungen im Bereich SGB XI</t>
  </si>
  <si>
    <t>Durchschnittlich versorgte Pflegebedürftige im Erhebungszeitraum</t>
  </si>
  <si>
    <t>(durchschnittliche Anzahl der Kunden p.a.)</t>
  </si>
  <si>
    <t>(nur die Kunden zählen anteilig, die mindestens an einem Tag in einem Kalendermonat Pflegesachleistungen (ohne § 37 Abs. 3) erhalten haben)</t>
  </si>
  <si>
    <t>Pflegegrade</t>
  </si>
  <si>
    <t>Gesamt</t>
  </si>
  <si>
    <t>Leistungen</t>
  </si>
  <si>
    <t>Erhebungszeitraum</t>
  </si>
  <si>
    <t>Nr.</t>
  </si>
  <si>
    <t>Komplex</t>
  </si>
  <si>
    <t>Anzahl</t>
  </si>
  <si>
    <t>P01</t>
  </si>
  <si>
    <t>Ganzwaschung</t>
  </si>
  <si>
    <t>P02</t>
  </si>
  <si>
    <t>Teilwaschung</t>
  </si>
  <si>
    <t>P03</t>
  </si>
  <si>
    <t>Ausscheidungen</t>
  </si>
  <si>
    <t>P04</t>
  </si>
  <si>
    <t>selbständige Nahrungsaufnahme</t>
  </si>
  <si>
    <t>P05</t>
  </si>
  <si>
    <t>Hilfe bei der Nahrungsaufnahme</t>
  </si>
  <si>
    <t>P06</t>
  </si>
  <si>
    <t>Sondenernährung</t>
  </si>
  <si>
    <t>P07</t>
  </si>
  <si>
    <t>Lagern / Betten</t>
  </si>
  <si>
    <t>P08</t>
  </si>
  <si>
    <t>Mobilisation</t>
  </si>
  <si>
    <t>P09</t>
  </si>
  <si>
    <t>Behördengänge und Arztbesuche</t>
  </si>
  <si>
    <t>P10</t>
  </si>
  <si>
    <t>Beheizen des Wohnbereichs</t>
  </si>
  <si>
    <t>P11</t>
  </si>
  <si>
    <t>Einkaufen</t>
  </si>
  <si>
    <t>P12</t>
  </si>
  <si>
    <t>Zubereiten von warmen Mahlzeiten</t>
  </si>
  <si>
    <t>P13</t>
  </si>
  <si>
    <t>Reinigung der Wohnung</t>
  </si>
  <si>
    <t>P14</t>
  </si>
  <si>
    <t>Waschen u. Pflegen der Wäsche / Kleidung</t>
  </si>
  <si>
    <t>P15</t>
  </si>
  <si>
    <t>Hausbesuchspauschale</t>
  </si>
  <si>
    <t>P15a</t>
  </si>
  <si>
    <t>Erhöhte Hausbesuchspauschale</t>
  </si>
  <si>
    <t>P16</t>
  </si>
  <si>
    <t>Erstgespräch</t>
  </si>
  <si>
    <t>P16 a</t>
  </si>
  <si>
    <t>Folgegespräch</t>
  </si>
  <si>
    <t>P17</t>
  </si>
  <si>
    <t>Beratungsbesuch nach § 37 Absatz 3 Satz 6 SGB XI; Grad 1 - 5</t>
  </si>
  <si>
    <t>P18</t>
  </si>
  <si>
    <t>Große Grundpfl. m. Lagern/selbst. Nahr.aufn.</t>
  </si>
  <si>
    <t>P19</t>
  </si>
  <si>
    <t>Große Grundpflege</t>
  </si>
  <si>
    <t>P20</t>
  </si>
  <si>
    <t>Kleine Grundpfl. m. Lagern/selbst. Nahr.aufn.</t>
  </si>
  <si>
    <t>P21</t>
  </si>
  <si>
    <t>Kleine Grundpflege</t>
  </si>
  <si>
    <t>P22</t>
  </si>
  <si>
    <t>Große hauswirtschaftliche Versorgung</t>
  </si>
  <si>
    <t>P23</t>
  </si>
  <si>
    <t>Große Grundpfl. m. Lagern</t>
  </si>
  <si>
    <t>P24</t>
  </si>
  <si>
    <t>Große Grundpfl. m. Lagern/Hilfe. Nahr.aufn.</t>
  </si>
  <si>
    <t>P25</t>
  </si>
  <si>
    <t>Kleine Grundpfl. m. Lagern</t>
  </si>
  <si>
    <t>P26</t>
  </si>
  <si>
    <t>Kleine Grundpfl. m. Lagern/Hilfe.Nahr.aufn.</t>
  </si>
  <si>
    <t>P27</t>
  </si>
  <si>
    <t xml:space="preserve">Kleine pflegerische Hilfestellung 1 </t>
  </si>
  <si>
    <t>P28</t>
  </si>
  <si>
    <t>Kleine pflegerische Hilfestellung 2</t>
  </si>
  <si>
    <t>P29</t>
  </si>
  <si>
    <t>Kleine pflegerische Hilfestellung 3</t>
  </si>
  <si>
    <t>P30</t>
  </si>
  <si>
    <t>Kleine pflegerische Hilfestellung 4</t>
  </si>
  <si>
    <t>P31</t>
  </si>
  <si>
    <t>Pflegerische Betreuung**</t>
  </si>
  <si>
    <t>P32</t>
  </si>
  <si>
    <t>Hilfe bei der Sicherstellung der selbstverantworteten Haushaltsführung**</t>
  </si>
  <si>
    <t>P33</t>
  </si>
  <si>
    <t>Hauswirtschaftliche Versorgung**</t>
  </si>
  <si>
    <t xml:space="preserve">** Anzahl der Minuten im Jahr </t>
  </si>
  <si>
    <t>C. Angabe zur Personalstruktur</t>
  </si>
  <si>
    <r>
      <t xml:space="preserve">(Anzahl der Beschäftigten ausschließlich im </t>
    </r>
    <r>
      <rPr>
        <b/>
        <sz val="10"/>
        <rFont val="Arial"/>
        <family val="2"/>
      </rPr>
      <t>SGB XI Bereich</t>
    </r>
    <r>
      <rPr>
        <sz val="11"/>
        <color theme="1"/>
        <rFont val="Aptos Narrow"/>
        <family val="2"/>
        <scheme val="minor"/>
      </rPr>
      <t>, umgerechnet in Vollzeitstellen)</t>
    </r>
  </si>
  <si>
    <t xml:space="preserve">(Ø der Mitarbeiter(innen) - jeweils am Monatsende - ausschließlich die Stellenanteile, die die unter B. </t>
  </si>
  <si>
    <t>ausgewiesenen Leistungen erwirtschaftet haben)</t>
  </si>
  <si>
    <t>Pflegedienst</t>
  </si>
  <si>
    <t>dazu gehören</t>
  </si>
  <si>
    <t>Pflegefachkräfte (staatlich examiniert) excl. Freistellungsanteil PDL</t>
  </si>
  <si>
    <t>Gesundheits- und KrankenpflegerIn, Krankenschwester, Kinderkrankenschwester, AltenpflegerIn. Krankenpfleger, incl. PDL mit Anteil in der Pflege</t>
  </si>
  <si>
    <t>Pflegehilfskräfte (1-jährig)</t>
  </si>
  <si>
    <t>KrankenpflegehelferIn, Arzthelferin, AltenpflegehelferIn, auch Hauswirtschaftsfachkräfte</t>
  </si>
  <si>
    <t xml:space="preserve">angelernte Hilfskräfte </t>
  </si>
  <si>
    <t>angelernte Mitarbeiter im Pflegedienst, die nicht mindestens ein Jahr ausgebildet wurden, auch angelernte Hauswirtschaftskräfte</t>
  </si>
  <si>
    <t>Betreuungskräfte</t>
  </si>
  <si>
    <t>Betreuungskräfte, die ausschließlich Betreuungsleistungen erbringen</t>
  </si>
  <si>
    <t>BFD und FSJ</t>
  </si>
  <si>
    <t>Zwischensumme</t>
  </si>
  <si>
    <t>Leitung und Verwaltungskräfte</t>
  </si>
  <si>
    <t xml:space="preserve">Leitung, in der Pflege freigestellte Mitarbeiteranteile, z.B. bei PDL, stellv. PDL, QMB, Hygienebeauftragte, Betriebsrat </t>
  </si>
  <si>
    <t>Gesamtsumme</t>
  </si>
  <si>
    <t>Auszubildende Pflege</t>
  </si>
  <si>
    <t>nachrichtlich in Köpfen zum Stichtag 31.12.</t>
  </si>
  <si>
    <t>Geringfügig Beschäftigte</t>
  </si>
  <si>
    <t>nachrichtlich %-Anteil des Gesamtpersonals Pflegedienst</t>
  </si>
  <si>
    <t>D. Tarifbindung / Tarifanwendung/ regional übliches Entgelt</t>
  </si>
  <si>
    <t>Der für die Mitarbeiter gemäß DCS-Meldung maßgebliche Tarifvertrag:</t>
  </si>
  <si>
    <t>TVöD</t>
  </si>
  <si>
    <t>Tarifanlehner</t>
  </si>
  <si>
    <t>Tarifanlehner/-anwender/reg. übl. Entgelt.</t>
  </si>
  <si>
    <t xml:space="preserve">regelmäßige wöchentliche Arbeitszeit: </t>
  </si>
  <si>
    <t>E. Kostenträgerstatistik</t>
  </si>
  <si>
    <r>
      <t xml:space="preserve">(Kostenträger über 5% Anteil an der </t>
    </r>
    <r>
      <rPr>
        <b/>
        <sz val="10"/>
        <rFont val="Arial"/>
        <family val="2"/>
      </rPr>
      <t>Zahl der Pflegebedürftigen</t>
    </r>
    <r>
      <rPr>
        <sz val="11"/>
        <color theme="1"/>
        <rFont val="Aptos Narrow"/>
        <family val="2"/>
        <scheme val="minor"/>
      </rPr>
      <t xml:space="preserve">, Erhebungszeitraum =  </t>
    </r>
  </si>
  <si>
    <r>
      <t xml:space="preserve">abgeschlossenes Geschäftsjahr - bitte </t>
    </r>
    <r>
      <rPr>
        <b/>
        <u/>
        <sz val="10"/>
        <rFont val="Arial"/>
        <family val="2"/>
      </rPr>
      <t>ankreuzen</t>
    </r>
    <r>
      <rPr>
        <sz val="11"/>
        <color theme="1"/>
        <rFont val="Aptos Narrow"/>
        <family val="2"/>
        <scheme val="minor"/>
      </rPr>
      <t>)</t>
    </r>
  </si>
  <si>
    <t>AOK</t>
  </si>
  <si>
    <t>Knappschaft</t>
  </si>
  <si>
    <t>BKK</t>
  </si>
  <si>
    <t>SVLFG</t>
  </si>
  <si>
    <t>IKK</t>
  </si>
  <si>
    <t>vdek</t>
  </si>
  <si>
    <t>Sozialhilfeträger</t>
  </si>
  <si>
    <t>Ort, PLZ, Datum:</t>
  </si>
  <si>
    <t>Für die Richtigkeit aller eingereichten Unterlagen</t>
  </si>
  <si>
    <t>(Stempel, Unterschrift Einrichtungsträger)</t>
  </si>
  <si>
    <t>Ermittlung der Budgetsteigerung</t>
  </si>
  <si>
    <t>sollten später mit weisser Schrfit auf weissem Untergrund "unsichtbar" gemacht werden</t>
  </si>
  <si>
    <t>bisherige gültige Vereinbarung:</t>
  </si>
  <si>
    <t>Umsatzvolumen</t>
  </si>
  <si>
    <t>Einzelpreis</t>
  </si>
  <si>
    <t>in der Zeit vom:</t>
  </si>
  <si>
    <t>bis zum:</t>
  </si>
  <si>
    <t>d</t>
  </si>
  <si>
    <t>Einzelpreis ohne Refinanzierung</t>
  </si>
  <si>
    <t>Punktevolumen</t>
  </si>
  <si>
    <t>bisherig</t>
  </si>
  <si>
    <t>lineare Steigerung</t>
  </si>
  <si>
    <t>individuelle Kalkulation</t>
  </si>
  <si>
    <t>selbst. Nahrungsaufn.</t>
  </si>
  <si>
    <t>Hilfe Nahrungsaufn.</t>
  </si>
  <si>
    <t>Sondenern. (PEG)</t>
  </si>
  <si>
    <t>Behördeng. Arztbes.</t>
  </si>
  <si>
    <t>Beheizen</t>
  </si>
  <si>
    <t>Zubereitung warme Sp.</t>
  </si>
  <si>
    <t>Reinigung Wohnung</t>
  </si>
  <si>
    <t>Wäsche</t>
  </si>
  <si>
    <t>Hausbes.-pauschale</t>
  </si>
  <si>
    <t>15 a</t>
  </si>
  <si>
    <t>erhöhte Besuchsp.</t>
  </si>
  <si>
    <t>16 a</t>
  </si>
  <si>
    <t>Beratungsbesuch</t>
  </si>
  <si>
    <t>Große Grundpflege 1</t>
  </si>
  <si>
    <t>Große Grundpflege 2</t>
  </si>
  <si>
    <t>Kleine Grundpflege 1</t>
  </si>
  <si>
    <t>Kleine Grundpflege 2</t>
  </si>
  <si>
    <t>Große hausw. Vers.</t>
  </si>
  <si>
    <t>Große Grundpflege 3</t>
  </si>
  <si>
    <t>Große Grundpflege 4</t>
  </si>
  <si>
    <t>Kleine Grundpflege 3</t>
  </si>
  <si>
    <t>Kleine Grundpflege 4</t>
  </si>
  <si>
    <t>Kleine pfleg. Hilfest.1</t>
  </si>
  <si>
    <t>Kleine pfleg. Hilfest. 2</t>
  </si>
  <si>
    <t>Kleine pfleg. Hilfest. 3</t>
  </si>
  <si>
    <t>Kleine pfleg. Hilfest. 4</t>
  </si>
  <si>
    <t>Pflegerische  Betreuung*</t>
  </si>
  <si>
    <t>(Minutenpreis)</t>
  </si>
  <si>
    <t>Hilfe bei der Sicherstellung der selbstverantw. Haushaltsführ.*</t>
  </si>
  <si>
    <t>Hauswirtschaftliche Versorgung*</t>
  </si>
  <si>
    <t>* Anzahl der Minuten im Jahr</t>
  </si>
  <si>
    <t>Summe</t>
  </si>
  <si>
    <t>Tarifvertrag</t>
  </si>
  <si>
    <t>Anwender/Anlehner</t>
  </si>
  <si>
    <t>Handreichungsangebot</t>
  </si>
  <si>
    <t xml:space="preserve">individuelle Kalkulation </t>
  </si>
  <si>
    <t>Angebot</t>
  </si>
  <si>
    <t>Laufzeit Beginn</t>
  </si>
  <si>
    <t>Punktwert</t>
  </si>
  <si>
    <t>PW</t>
  </si>
  <si>
    <t>Laufzeit Ende</t>
  </si>
  <si>
    <t>LK15</t>
  </si>
  <si>
    <t>Lk15</t>
  </si>
  <si>
    <t>LK15a</t>
  </si>
  <si>
    <t>aktuelle Werte oberhalb Handreichung:</t>
  </si>
  <si>
    <t>nein</t>
  </si>
  <si>
    <t>&gt; dann Individualverhandlung</t>
  </si>
  <si>
    <t>Basisbereinigung für Folgevereinbarung:</t>
  </si>
  <si>
    <t>Basisbereinigung</t>
  </si>
  <si>
    <t>Name des Pflegedienstes</t>
  </si>
  <si>
    <t>Anlage 1</t>
  </si>
  <si>
    <t xml:space="preserve">Nachweis der Kosten / Forderung </t>
  </si>
  <si>
    <t xml:space="preserve">( ausschließlich die Kosten für Stellenanteile, die unter B. ausgewiesene Leistungskomplexe </t>
  </si>
  <si>
    <t xml:space="preserve">erwirtschaftet haben; vgl. auch Ziffer C. Personalstruktur ) </t>
  </si>
  <si>
    <t>Nur auszufüllen bei Individualverhandlung</t>
  </si>
  <si>
    <t>abgeschlossenes Geschäftsjahr</t>
  </si>
  <si>
    <t>prospektiver Vergütungszeitraum</t>
  </si>
  <si>
    <t xml:space="preserve">Personalkosten </t>
  </si>
  <si>
    <t>VK</t>
  </si>
  <si>
    <t xml:space="preserve">Kosten </t>
  </si>
  <si>
    <t>Ø</t>
  </si>
  <si>
    <t>Veränderung zum abg. Geschäftsjahr</t>
  </si>
  <si>
    <t>Leitung und Verwaltung Pflegedienst</t>
  </si>
  <si>
    <t xml:space="preserve">Summe Personalkosten </t>
  </si>
  <si>
    <t xml:space="preserve">Sachkosten </t>
  </si>
  <si>
    <t>( für die unter B. erwirtschafteten Leistungen )</t>
  </si>
  <si>
    <t>Wirtschaftsbedarf</t>
  </si>
  <si>
    <t>Verwaltungsbedarf</t>
  </si>
  <si>
    <t>Fremdleistungen Verwaltung</t>
  </si>
  <si>
    <t>Aufwendungen Fahrzeuge</t>
  </si>
  <si>
    <t>med. pfleg. Bedarf</t>
  </si>
  <si>
    <t>Fremdleistungen Pflege</t>
  </si>
  <si>
    <t>Verbrauchsgüter</t>
  </si>
  <si>
    <t>Steuern, Abgaben, Versicherungen</t>
  </si>
  <si>
    <t>Qualitätssicherung</t>
  </si>
  <si>
    <t>Sonstiges (bitte erläutern)</t>
  </si>
  <si>
    <t>Trägeruml. soweit nicht Fremdlst. Verwaltung</t>
  </si>
  <si>
    <t xml:space="preserve">Summe Sachkosten </t>
  </si>
  <si>
    <t xml:space="preserve">Summe Personal- und Sachkosten </t>
  </si>
  <si>
    <t>1. Ausbildungskosten der Pflegefachassistenzausbildung</t>
  </si>
  <si>
    <t>3.</t>
  </si>
  <si>
    <t>`+Sozialversicherungen 25%</t>
  </si>
  <si>
    <t>`= Summe monatl. Ausbildungskosten</t>
  </si>
  <si>
    <t>Tage</t>
  </si>
  <si>
    <t>Monate</t>
  </si>
  <si>
    <t xml:space="preserve">2. </t>
  </si>
  <si>
    <t xml:space="preserve">Berechnung der anteiligen Monate im folgenden Finanzierungsjahr </t>
  </si>
  <si>
    <t>Laufzeitbeginn:</t>
  </si>
  <si>
    <t xml:space="preserve">2a. </t>
  </si>
  <si>
    <t>Neu zu berücksichtigende Ausbildungsmonate</t>
  </si>
  <si>
    <t>Laufzeitende</t>
  </si>
  <si>
    <t>Namenskürzel Auszubildende</t>
  </si>
  <si>
    <t>Ausbildungsbeginn</t>
  </si>
  <si>
    <t>Ausbildungsende</t>
  </si>
  <si>
    <t>Anzahl Azubildende</t>
  </si>
  <si>
    <t>Gesamtmonate</t>
  </si>
  <si>
    <t>Ausbildungsumfang Teil-/Vollzeit</t>
  </si>
  <si>
    <t>anteilige Monate</t>
  </si>
  <si>
    <t/>
  </si>
  <si>
    <t>Summe anteilige Monate</t>
  </si>
  <si>
    <t>2b.</t>
  </si>
  <si>
    <t xml:space="preserve">In der vorherigen Vergütungsvereinbarung berücksichtigte Ausbildungsmonate, die nicht stattfinden konnten (z. B. Ausbildungsabbruch) </t>
  </si>
  <si>
    <t>Folgetag Ausbildungsabbruch</t>
  </si>
  <si>
    <t>Ende der aktuellen Vergütungsverein-barungslaufzeit</t>
  </si>
  <si>
    <t>Anzahl abzuziehende Monate</t>
  </si>
  <si>
    <t>Summe anteilige Monate 2a. + 2b.</t>
  </si>
  <si>
    <t>Berechnung der zu refinanzierenden anteiligen Kosten im folgenden Finanzierungsjahr</t>
  </si>
  <si>
    <t>monatl. Ausbildungskosten</t>
  </si>
  <si>
    <r>
      <rPr>
        <sz val="10"/>
        <rFont val="Calibri"/>
        <family val="2"/>
      </rPr>
      <t>∑</t>
    </r>
    <r>
      <rPr>
        <sz val="16"/>
        <rFont val="Arial"/>
        <family val="2"/>
      </rPr>
      <t xml:space="preserve"> </t>
    </r>
    <r>
      <rPr>
        <sz val="11"/>
        <color theme="1"/>
        <rFont val="Aptos Narrow"/>
        <family val="2"/>
        <scheme val="minor"/>
      </rPr>
      <t>Punktevolumen</t>
    </r>
  </si>
  <si>
    <t>jährlicher Punktwertauf-  schlag</t>
  </si>
  <si>
    <t>Punktwertaufschlag Vereinbarungszeitraum</t>
  </si>
  <si>
    <t>4.</t>
  </si>
  <si>
    <t>Angabe des Punktwertaufschlages für die neue Vergütung zum nächsten 1. Januar</t>
  </si>
  <si>
    <t>jährlicher Punktwertaufschlag</t>
  </si>
  <si>
    <t>Der Punktwertaufschlag in Höhe von  Euro darf nicht überschritten werden</t>
  </si>
  <si>
    <t>Der berechnete jährliche Punktwertaufschlag in der Zelle I41 ist der maximal zulässige Punktwertaufschlag für die Vergütungsverhandlung SGB XI.</t>
  </si>
  <si>
    <t>Als ambulante Pflegeeinrichtung, dürfen Sie diesen unterschreiten. In dem Fall tragen Sie bitte den "gewünschten" Punktwertaufschlag in die Zelle</t>
  </si>
  <si>
    <t>C49 ein. Bitte beachten Sie, dass dieser Aufschlag maximal fünf Stellen hinter dem Komma haben darf und kleiner oder gleich dem berechneten</t>
  </si>
  <si>
    <t>jährlichen Punktwertaufschlag in Zelle I41 sein muss. Als Vorschlag wird automatisch der berechnete jährliche Punktwertaufschlag ausgewiesen.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</si>
</sst>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7" formatCode="#,##0.00\ &quot;€&quot;;\-#,##0.00\ &quot;€&quot;"/>
    <numFmt numFmtId="44" formatCode="_-* #,##0.00\ &quot;€&quot;_-;\-* #,##0.00\ &quot;€&quot;_-;_-* &quot;-&quot;??\ &quot;€&quot;_-;_-@_-"/>
    <numFmt numFmtId="164" formatCode="00000"/>
    <numFmt numFmtId="165" formatCode="###\ ###\ ###"/>
    <numFmt numFmtId="166" formatCode="00000\ "/>
    <numFmt numFmtId="167" formatCode="#,##0.00000\ &quot;€&quot;"/>
    <numFmt numFmtId="168" formatCode="#,##0.00\ &quot;€&quot;"/>
    <numFmt numFmtId="169" formatCode="#,##0.000000\ &quot;€&quot;"/>
    <numFmt numFmtId="170" formatCode="0.000\ \€"/>
    <numFmt numFmtId="171" formatCode="#,##0.000\ &quot;DM&quot;"/>
    <numFmt numFmtId="172" formatCode="0.00&quot; VK&quot;"/>
    <numFmt numFmtId="173" formatCode="0&quot; Auszubildende&quot;"/>
    <numFmt numFmtId="174" formatCode="0.00000"/>
    <numFmt numFmtId="175" formatCode="dd/mm/yy;@"/>
    <numFmt numFmtId="176" formatCode="#,##0.000"/>
    <numFmt numFmtId="177" formatCode="#,##0.00000\ &quot;€&quot;;\-#,##0.00000\ &quot;€&quot;"/>
    <numFmt numFmtId="178" formatCode="0.0000%"/>
    <numFmt numFmtId="179" formatCode="0.0000"/>
    <numFmt numFmtId="180" formatCode="0.000000"/>
    <numFmt numFmtId="181" formatCode="_-* #,##0.00000\ &quot;€&quot;_-;\-* #,##0.00000\ &quot;€&quot;_-;_-* &quot;-&quot;??\ &quot;€&quot;_-;_-@_-"/>
    <numFmt numFmtId="182" formatCode="0.0000&quot; VK&quot;"/>
    <numFmt numFmtId="183" formatCode="0.000"/>
    <numFmt numFmtId="184" formatCode="#,##0.000\ &quot;€&quot;;\-#,##0.000\ &quot;€&quot;"/>
    <numFmt numFmtId="185" formatCode="_-* #,##0.00\ [$€-407]_-;\-* #,##0.00\ [$€-407]_-;_-* &quot;-&quot;??\ [$€-407]_-;_-@_-"/>
    <numFmt numFmtId="186" formatCode="0.0%"/>
    <numFmt numFmtId="187" formatCode="_-* #,##0.000000\ &quot;€&quot;_-;\-* #,##0.000000\ &quot;€&quot;_-;_-* &quot;-&quot;??\ &quot;€&quot;_-;_-@_-"/>
    <numFmt numFmtId="188" formatCode="_-* #,##0.00000\ [$€-407]_-;\-* #,##0.00000\ [$€-407]_-;_-* &quot;-&quot;??\ [$€-407]_-;_-@_-"/>
    <numFmt numFmtId="189" formatCode="_-* #,##0.000000\ &quot;€&quot;_-;\-* #,##0.000000\ &quot;€&quot;_-;_-* &quot;-&quot;??????\ &quot;€&quot;_-;_-@_-"/>
  </numFmts>
  <fonts count="47">
    <font>
      <sz val="11"/>
      <color theme="1"/>
      <name val="Aptos Narrow"/>
      <family val="2"/>
      <scheme val="minor"/>
    </font>
    <font>
      <sz val="11"/>
      <color theme="1"/>
      <name val="Aptos Narrow"/>
      <family val="2"/>
      <scheme val="minor"/>
    </font>
    <font>
      <sz val="11"/>
      <color theme="1"/>
      <name val="Arial"/>
      <family val="2"/>
    </font>
    <font>
      <b/>
      <sz val="12"/>
      <name val="Arial"/>
      <family val="2"/>
    </font>
    <font>
      <b/>
      <sz val="15"/>
      <name val="Arial"/>
      <family val="2"/>
    </font>
    <font>
      <sz val="11"/>
      <color rgb="FF000000"/>
      <name val="Arial"/>
      <family val="2"/>
    </font>
    <font>
      <sz val="20"/>
      <name val="Times New Roman"/>
      <family val="1"/>
    </font>
    <font>
      <sz val="10"/>
      <color theme="1"/>
      <name val="Arial"/>
      <family val="2"/>
    </font>
    <font>
      <b/>
      <sz val="10"/>
      <name val="Arial"/>
      <family val="2"/>
    </font>
    <font>
      <sz val="10"/>
      <color rgb="FF000000"/>
      <name val="Arial"/>
      <family val="2"/>
    </font>
    <font>
      <sz val="10"/>
      <name val="Arial"/>
      <family val="2"/>
    </font>
    <font>
      <sz val="16"/>
      <name val="Arial"/>
      <family val="2"/>
    </font>
    <font>
      <sz val="9"/>
      <name val="Arial"/>
      <family val="2"/>
    </font>
    <font>
      <sz val="10"/>
      <name val="Times New Roman"/>
      <family val="1"/>
    </font>
    <font>
      <b/>
      <i/>
      <sz val="10"/>
      <name val="Arial"/>
      <family val="2"/>
    </font>
    <font>
      <sz val="8"/>
      <name val="Arial"/>
      <family val="2"/>
    </font>
    <font>
      <b/>
      <sz val="10"/>
      <color rgb="FF000000"/>
      <name val="Arial"/>
      <family val="2"/>
    </font>
    <font>
      <sz val="11"/>
      <name val="Arial"/>
      <family val="2"/>
    </font>
    <font>
      <b/>
      <sz val="8"/>
      <name val="Arial"/>
      <family val="2"/>
    </font>
    <font>
      <sz val="8"/>
      <color rgb="FF000000"/>
      <name val="Arial"/>
      <family val="2"/>
    </font>
    <font>
      <b/>
      <u/>
      <sz val="10"/>
      <name val="Arial"/>
      <family val="2"/>
    </font>
    <font>
      <sz val="8"/>
      <color theme="1"/>
      <name val="Arial"/>
      <family val="2"/>
    </font>
    <font>
      <i/>
      <sz val="8"/>
      <name val="Arial"/>
      <family val="2"/>
    </font>
    <font>
      <sz val="11"/>
      <color indexed="8"/>
      <name val="Arial"/>
      <family val="2"/>
    </font>
    <font>
      <b/>
      <sz val="14"/>
      <name val="Arial"/>
      <family val="2"/>
    </font>
    <font>
      <sz val="12"/>
      <name val="Times New Roman"/>
      <family val="1"/>
    </font>
    <font>
      <sz val="11"/>
      <name val="Times New Roman"/>
      <family val="1"/>
    </font>
    <font>
      <sz val="12"/>
      <name val="Arial"/>
      <family val="2"/>
    </font>
    <font>
      <sz val="10"/>
      <color theme="0"/>
      <name val="Arial"/>
      <family val="2"/>
    </font>
    <font>
      <b/>
      <sz val="9"/>
      <name val="Arial"/>
      <family val="2"/>
    </font>
    <font>
      <sz val="9"/>
      <color theme="0"/>
      <name val="Arial"/>
      <family val="2"/>
    </font>
    <font>
      <b/>
      <sz val="10"/>
      <color rgb="FFC00000"/>
      <name val="Arial"/>
      <family val="2"/>
    </font>
    <font>
      <b/>
      <sz val="11"/>
      <color indexed="8"/>
      <name val="Arial"/>
      <family val="2"/>
    </font>
    <font>
      <sz val="10"/>
      <color indexed="8"/>
      <name val="Calibri"/>
      <family val="2"/>
    </font>
    <font>
      <b/>
      <sz val="12"/>
      <color rgb="FFFF0000"/>
      <name val="Arial"/>
      <family val="2"/>
    </font>
    <font>
      <b/>
      <sz val="11"/>
      <color indexed="8"/>
      <name val="Calibri"/>
      <family val="2"/>
    </font>
    <font>
      <b/>
      <sz val="11"/>
      <name val="Arial"/>
      <family val="2"/>
    </font>
    <font>
      <sz val="11"/>
      <color theme="3"/>
      <name val="Arial"/>
      <family val="2"/>
    </font>
    <font>
      <b/>
      <sz val="14"/>
      <color theme="1"/>
      <name val="Arial"/>
      <family val="2"/>
    </font>
    <font>
      <b/>
      <sz val="11"/>
      <color theme="1"/>
      <name val="Arial"/>
      <family val="2"/>
    </font>
    <font>
      <sz val="14"/>
      <name val="Arial"/>
      <family val="2"/>
    </font>
    <font>
      <b/>
      <sz val="11"/>
      <color rgb="FFFF0000"/>
      <name val="Arial"/>
      <family val="2"/>
    </font>
    <font>
      <sz val="10"/>
      <name val="Calibri"/>
      <family val="2"/>
    </font>
    <font>
      <b/>
      <sz val="9"/>
      <color indexed="81"/>
      <name val="Segoe UI"/>
      <family val="2"/>
    </font>
    <font>
      <sz val="9"/>
      <color indexed="81"/>
      <name val="Segoe UI"/>
      <family val="2"/>
    </font>
    <font>
      <sz val="9"/>
      <color indexed="81"/>
      <name val="Segoe UI"/>
      <charset val="1"/>
    </font>
    <font>
      <b/>
      <sz val="9"/>
      <color indexed="81"/>
      <name val="Segoe UI"/>
      <charset val="1"/>
    </font>
  </fonts>
  <fills count="11">
    <fill>
      <patternFill patternType="none"/>
    </fill>
    <fill>
      <patternFill patternType="gray125"/>
    </fill>
    <fill>
      <patternFill patternType="solid">
        <fgColor rgb="FFE5FFE5"/>
        <bgColor indexed="64"/>
      </patternFill>
    </fill>
    <fill>
      <patternFill patternType="solid">
        <fgColor theme="0"/>
        <bgColor indexed="64"/>
      </patternFill>
    </fill>
    <fill>
      <patternFill patternType="solid">
        <fgColor rgb="FFFFFFCC"/>
        <bgColor indexed="64"/>
      </patternFill>
    </fill>
    <fill>
      <patternFill patternType="solid">
        <fgColor rgb="FFCCFFCC"/>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indexed="9"/>
        <bgColor indexed="64"/>
      </patternFill>
    </fill>
    <fill>
      <patternFill patternType="solid">
        <fgColor theme="2" tint="-0.249977111117893"/>
        <bgColor indexed="64"/>
      </patternFill>
    </fill>
    <fill>
      <patternFill patternType="solid">
        <fgColor theme="8" tint="0.59999389629810485"/>
        <bgColor indexed="64"/>
      </patternFill>
    </fill>
  </fills>
  <borders count="52">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hair">
        <color indexed="64"/>
      </bottom>
      <diagonal/>
    </border>
    <border>
      <left/>
      <right style="medium">
        <color indexed="64"/>
      </right>
      <top/>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bottom style="medium">
        <color indexed="64"/>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0" fontId="5" fillId="0" borderId="0"/>
    <xf numFmtId="0" fontId="17" fillId="0" borderId="0"/>
    <xf numFmtId="44" fontId="23" fillId="0" borderId="0" applyFont="0" applyFill="0" applyBorder="0" applyAlignment="0" applyProtection="0"/>
    <xf numFmtId="0" fontId="10" fillId="0" borderId="0"/>
    <xf numFmtId="9" fontId="2" fillId="0" borderId="0" applyFont="0" applyFill="0" applyBorder="0" applyAlignment="0" applyProtection="0"/>
  </cellStyleXfs>
  <cellXfs count="375">
    <xf numFmtId="0" fontId="0" fillId="0" borderId="0" xfId="0"/>
    <xf numFmtId="0" fontId="3" fillId="0" borderId="0" xfId="3" applyFont="1" applyAlignment="1">
      <alignment vertical="center"/>
    </xf>
    <xf numFmtId="0" fontId="4" fillId="0" borderId="0" xfId="3" applyFont="1" applyAlignment="1">
      <alignment vertical="center"/>
    </xf>
    <xf numFmtId="0" fontId="4" fillId="0" borderId="0" xfId="4" applyFont="1" applyAlignment="1">
      <alignment vertical="center"/>
    </xf>
    <xf numFmtId="0" fontId="6" fillId="0" borderId="0" xfId="4" applyFont="1" applyAlignment="1">
      <alignment vertical="center"/>
    </xf>
    <xf numFmtId="0" fontId="7" fillId="0" borderId="0" xfId="3" applyFont="1" applyAlignment="1">
      <alignment vertical="center"/>
    </xf>
    <xf numFmtId="0" fontId="8" fillId="0" borderId="0" xfId="3" applyFont="1" applyAlignment="1">
      <alignment vertical="center"/>
    </xf>
    <xf numFmtId="0" fontId="8" fillId="0" borderId="0" xfId="4" applyFont="1" applyAlignment="1">
      <alignment vertical="center"/>
    </xf>
    <xf numFmtId="0" fontId="9" fillId="0" borderId="0" xfId="4" applyFont="1" applyAlignment="1">
      <alignment vertical="center"/>
    </xf>
    <xf numFmtId="0" fontId="10" fillId="0" borderId="0" xfId="4" applyFont="1" applyAlignment="1">
      <alignment vertical="center"/>
    </xf>
    <xf numFmtId="0" fontId="11" fillId="0" borderId="0" xfId="4" applyFont="1" applyAlignment="1">
      <alignment vertical="center"/>
    </xf>
    <xf numFmtId="0" fontId="5" fillId="0" borderId="0" xfId="4" applyAlignment="1">
      <alignment vertical="center"/>
    </xf>
    <xf numFmtId="0" fontId="12" fillId="3" borderId="0" xfId="4" applyFont="1" applyFill="1" applyAlignment="1">
      <alignment vertical="center"/>
    </xf>
    <xf numFmtId="0" fontId="13" fillId="0" borderId="0" xfId="4" applyFont="1" applyAlignment="1">
      <alignment vertical="center"/>
    </xf>
    <xf numFmtId="164" fontId="12" fillId="2" borderId="5" xfId="3" applyNumberFormat="1" applyFont="1" applyFill="1" applyBorder="1" applyAlignment="1" applyProtection="1">
      <alignment vertical="center"/>
      <protection locked="0"/>
    </xf>
    <xf numFmtId="0" fontId="10" fillId="0" borderId="0" xfId="3" applyFont="1" applyAlignment="1" applyProtection="1">
      <alignment vertical="center"/>
      <protection locked="0"/>
    </xf>
    <xf numFmtId="0" fontId="2" fillId="0" borderId="0" xfId="3" applyAlignment="1">
      <alignment vertical="center"/>
    </xf>
    <xf numFmtId="165" fontId="10" fillId="2" borderId="5" xfId="3" applyNumberFormat="1" applyFont="1" applyFill="1" applyBorder="1" applyAlignment="1" applyProtection="1">
      <alignment horizontal="center" vertical="center"/>
      <protection locked="0"/>
    </xf>
    <xf numFmtId="0" fontId="14" fillId="0" borderId="0" xfId="4" applyFont="1" applyAlignment="1">
      <alignment vertical="center"/>
    </xf>
    <xf numFmtId="0" fontId="7" fillId="0" borderId="0" xfId="4" applyFont="1" applyAlignment="1">
      <alignment vertical="center"/>
    </xf>
    <xf numFmtId="0" fontId="0" fillId="0" borderId="0" xfId="3" applyFont="1" applyAlignment="1">
      <alignment horizontal="center" vertical="center"/>
    </xf>
    <xf numFmtId="0" fontId="10" fillId="0" borderId="5" xfId="3" applyFont="1" applyBorder="1" applyAlignment="1">
      <alignment horizontal="center" vertical="center"/>
    </xf>
    <xf numFmtId="0" fontId="0" fillId="0" borderId="0" xfId="4" applyFont="1" applyAlignment="1">
      <alignment vertical="center"/>
    </xf>
    <xf numFmtId="14" fontId="10" fillId="2" borderId="5" xfId="3" applyNumberFormat="1" applyFont="1" applyFill="1" applyBorder="1" applyAlignment="1" applyProtection="1">
      <alignment horizontal="center" vertical="center"/>
      <protection locked="0"/>
    </xf>
    <xf numFmtId="14" fontId="10" fillId="0" borderId="0" xfId="4" applyNumberFormat="1" applyFont="1" applyAlignment="1">
      <alignment vertical="center"/>
    </xf>
    <xf numFmtId="14" fontId="8" fillId="0" borderId="0" xfId="4" applyNumberFormat="1" applyFont="1" applyAlignment="1">
      <alignment vertical="center"/>
    </xf>
    <xf numFmtId="166" fontId="10" fillId="0" borderId="0" xfId="3" applyNumberFormat="1" applyFont="1" applyAlignment="1">
      <alignment vertical="center"/>
    </xf>
    <xf numFmtId="0" fontId="10" fillId="0" borderId="0" xfId="3" applyFont="1" applyAlignment="1">
      <alignment horizontal="center" vertical="center"/>
    </xf>
    <xf numFmtId="167" fontId="10" fillId="0" borderId="6" xfId="3" applyNumberFormat="1" applyFont="1" applyBorder="1" applyAlignment="1">
      <alignment vertical="center"/>
    </xf>
    <xf numFmtId="168" fontId="10" fillId="0" borderId="0" xfId="4" applyNumberFormat="1" applyFont="1" applyAlignment="1">
      <alignment vertical="center"/>
    </xf>
    <xf numFmtId="169" fontId="10" fillId="0" borderId="0" xfId="4" applyNumberFormat="1" applyFont="1" applyAlignment="1">
      <alignment vertical="center"/>
    </xf>
    <xf numFmtId="0" fontId="15" fillId="0" borderId="0" xfId="3" applyFont="1" applyAlignment="1">
      <alignment vertical="center"/>
    </xf>
    <xf numFmtId="0" fontId="15" fillId="0" borderId="0" xfId="3" quotePrefix="1" applyFont="1" applyAlignment="1">
      <alignment vertical="center"/>
    </xf>
    <xf numFmtId="0" fontId="16" fillId="0" borderId="0" xfId="4" applyFont="1" applyAlignment="1">
      <alignment vertical="center"/>
    </xf>
    <xf numFmtId="0" fontId="10" fillId="0" borderId="0" xfId="3" applyFont="1" applyAlignment="1">
      <alignment horizontal="right" vertical="center"/>
    </xf>
    <xf numFmtId="165" fontId="10" fillId="0" borderId="0" xfId="3" applyNumberFormat="1" applyFont="1" applyAlignment="1">
      <alignment horizontal="center" vertical="center"/>
    </xf>
    <xf numFmtId="170" fontId="8" fillId="0" borderId="0" xfId="3" applyNumberFormat="1" applyFont="1" applyAlignment="1">
      <alignment vertical="center"/>
    </xf>
    <xf numFmtId="171" fontId="8" fillId="0" borderId="0" xfId="3" applyNumberFormat="1" applyFont="1" applyAlignment="1">
      <alignment vertical="center"/>
    </xf>
    <xf numFmtId="171" fontId="8" fillId="0" borderId="0" xfId="4" applyNumberFormat="1" applyFont="1" applyAlignment="1">
      <alignment vertical="center"/>
    </xf>
    <xf numFmtId="0" fontId="15" fillId="0" borderId="0" xfId="5" applyFont="1" applyAlignment="1">
      <alignment vertical="center"/>
    </xf>
    <xf numFmtId="0" fontId="10" fillId="0" borderId="0" xfId="5" applyFont="1" applyAlignment="1">
      <alignment vertical="center"/>
    </xf>
    <xf numFmtId="170" fontId="10" fillId="0" borderId="0" xfId="3" applyNumberFormat="1" applyFont="1" applyAlignment="1">
      <alignment vertical="center"/>
    </xf>
    <xf numFmtId="171" fontId="10" fillId="0" borderId="0" xfId="3" applyNumberFormat="1" applyFont="1" applyAlignment="1">
      <alignment vertical="center"/>
    </xf>
    <xf numFmtId="171" fontId="10" fillId="0" borderId="0" xfId="4" applyNumberFormat="1" applyFont="1" applyAlignment="1">
      <alignment vertical="center"/>
    </xf>
    <xf numFmtId="0" fontId="18" fillId="0" borderId="0" xfId="3" applyFont="1" applyAlignment="1">
      <alignment vertical="center"/>
    </xf>
    <xf numFmtId="0" fontId="18" fillId="0" borderId="0" xfId="4" applyFont="1" applyAlignment="1">
      <alignment vertical="center"/>
    </xf>
    <xf numFmtId="0" fontId="19" fillId="0" borderId="0" xfId="4" applyFont="1" applyAlignment="1">
      <alignment vertical="center"/>
    </xf>
    <xf numFmtId="0" fontId="15" fillId="2" borderId="5" xfId="3" applyFont="1" applyFill="1" applyBorder="1" applyAlignment="1" applyProtection="1">
      <alignment horizontal="center" vertical="center"/>
      <protection locked="0"/>
    </xf>
    <xf numFmtId="2" fontId="15" fillId="0" borderId="5" xfId="3" applyNumberFormat="1" applyFont="1" applyBorder="1" applyAlignment="1">
      <alignment horizontal="center" vertical="center"/>
    </xf>
    <xf numFmtId="0" fontId="15" fillId="0" borderId="0" xfId="4" applyFont="1" applyAlignment="1">
      <alignment vertical="center"/>
    </xf>
    <xf numFmtId="4" fontId="18" fillId="0" borderId="0" xfId="4" applyNumberFormat="1" applyFont="1" applyAlignment="1">
      <alignment vertical="center"/>
    </xf>
    <xf numFmtId="3" fontId="18" fillId="0" borderId="0" xfId="4" applyNumberFormat="1" applyFont="1" applyAlignment="1">
      <alignment vertical="center"/>
    </xf>
    <xf numFmtId="0" fontId="8" fillId="0" borderId="3" xfId="3" applyFont="1" applyBorder="1" applyAlignment="1">
      <alignment vertical="center"/>
    </xf>
    <xf numFmtId="0" fontId="2" fillId="0" borderId="3" xfId="3" applyBorder="1" applyAlignment="1">
      <alignment vertical="center"/>
    </xf>
    <xf numFmtId="0" fontId="10" fillId="0" borderId="5" xfId="3" applyFont="1" applyBorder="1" applyAlignment="1">
      <alignment vertical="center"/>
    </xf>
    <xf numFmtId="0" fontId="20" fillId="0" borderId="0" xfId="3" applyFont="1" applyAlignment="1">
      <alignment vertical="center"/>
    </xf>
    <xf numFmtId="0" fontId="20" fillId="0" borderId="0" xfId="4" applyFont="1" applyAlignment="1">
      <alignment vertical="center"/>
    </xf>
    <xf numFmtId="0" fontId="15" fillId="0" borderId="2" xfId="3" applyFont="1" applyBorder="1" applyAlignment="1">
      <alignment vertical="center"/>
    </xf>
    <xf numFmtId="0" fontId="21" fillId="0" borderId="3" xfId="3" applyFont="1" applyBorder="1" applyAlignment="1">
      <alignment vertical="center"/>
    </xf>
    <xf numFmtId="3" fontId="15" fillId="2" borderId="5" xfId="3" applyNumberFormat="1" applyFont="1" applyFill="1" applyBorder="1" applyAlignment="1" applyProtection="1">
      <alignment vertical="center"/>
      <protection locked="0"/>
    </xf>
    <xf numFmtId="2" fontId="15" fillId="0" borderId="0" xfId="4" applyNumberFormat="1" applyFont="1" applyAlignment="1">
      <alignment vertical="center"/>
    </xf>
    <xf numFmtId="3" fontId="15" fillId="0" borderId="0" xfId="4" applyNumberFormat="1" applyFont="1" applyAlignment="1">
      <alignment vertical="center"/>
    </xf>
    <xf numFmtId="3" fontId="10" fillId="0" borderId="0" xfId="4" applyNumberFormat="1" applyFont="1" applyAlignment="1">
      <alignment vertical="center"/>
    </xf>
    <xf numFmtId="0" fontId="21" fillId="0" borderId="0" xfId="3" applyFont="1" applyAlignment="1">
      <alignment vertical="center"/>
    </xf>
    <xf numFmtId="0" fontId="15" fillId="0" borderId="0" xfId="3" applyFont="1" applyAlignment="1">
      <alignment vertical="center" wrapText="1"/>
    </xf>
    <xf numFmtId="0" fontId="22" fillId="0" borderId="0" xfId="3" applyFont="1" applyAlignment="1">
      <alignment vertical="center"/>
    </xf>
    <xf numFmtId="3" fontId="10" fillId="0" borderId="0" xfId="6" applyNumberFormat="1" applyFont="1" applyFill="1" applyBorder="1" applyAlignment="1" applyProtection="1">
      <alignment vertical="center"/>
    </xf>
    <xf numFmtId="0" fontId="24" fillId="0" borderId="0" xfId="3" applyFont="1" applyAlignment="1">
      <alignment vertical="center"/>
    </xf>
    <xf numFmtId="0" fontId="24" fillId="0" borderId="0" xfId="4" applyFont="1" applyAlignment="1">
      <alignment vertical="center"/>
    </xf>
    <xf numFmtId="172" fontId="10" fillId="2" borderId="5" xfId="3" applyNumberFormat="1" applyFont="1" applyFill="1" applyBorder="1" applyAlignment="1" applyProtection="1">
      <alignment vertical="center"/>
      <protection locked="0"/>
    </xf>
    <xf numFmtId="172" fontId="10" fillId="0" borderId="0" xfId="4" applyNumberFormat="1" applyFont="1" applyAlignment="1">
      <alignment vertical="center"/>
    </xf>
    <xf numFmtId="172" fontId="10" fillId="0" borderId="0" xfId="3" applyNumberFormat="1" applyFont="1" applyAlignment="1">
      <alignment vertical="center"/>
    </xf>
    <xf numFmtId="172" fontId="8" fillId="0" borderId="0" xfId="3" applyNumberFormat="1" applyFont="1" applyAlignment="1">
      <alignment vertical="center"/>
    </xf>
    <xf numFmtId="172" fontId="8" fillId="0" borderId="0" xfId="4" applyNumberFormat="1" applyFont="1" applyAlignment="1">
      <alignment vertical="center"/>
    </xf>
    <xf numFmtId="173" fontId="10" fillId="0" borderId="0" xfId="4" applyNumberFormat="1" applyFont="1" applyAlignment="1">
      <alignment vertical="center"/>
    </xf>
    <xf numFmtId="10" fontId="10" fillId="2" borderId="5" xfId="3" applyNumberFormat="1" applyFont="1" applyFill="1" applyBorder="1" applyAlignment="1" applyProtection="1">
      <alignment vertical="center"/>
      <protection locked="0"/>
    </xf>
    <xf numFmtId="10" fontId="10" fillId="0" borderId="0" xfId="4" applyNumberFormat="1" applyFont="1" applyAlignment="1">
      <alignment vertical="center"/>
    </xf>
    <xf numFmtId="0" fontId="14" fillId="0" borderId="0" xfId="3" applyFont="1" applyAlignment="1">
      <alignment vertical="center"/>
    </xf>
    <xf numFmtId="0" fontId="25" fillId="0" borderId="0" xfId="3" applyFont="1" applyAlignment="1">
      <alignment vertical="center"/>
    </xf>
    <xf numFmtId="0" fontId="25" fillId="0" borderId="0" xfId="4" applyFont="1" applyAlignment="1">
      <alignment vertical="center"/>
    </xf>
    <xf numFmtId="0" fontId="26" fillId="0" borderId="0" xfId="4" applyFont="1" applyAlignment="1">
      <alignment vertical="center"/>
    </xf>
    <xf numFmtId="0" fontId="3" fillId="0" borderId="0" xfId="4" applyFont="1" applyAlignment="1">
      <alignment vertical="center"/>
    </xf>
    <xf numFmtId="0" fontId="10" fillId="0" borderId="0" xfId="4" applyFont="1" applyAlignment="1">
      <alignment horizontal="right" vertical="center"/>
    </xf>
    <xf numFmtId="0" fontId="27" fillId="0" borderId="0" xfId="4" applyFont="1" applyAlignment="1">
      <alignment vertical="center"/>
    </xf>
    <xf numFmtId="0" fontId="5" fillId="2" borderId="5" xfId="4" applyFill="1" applyBorder="1" applyAlignment="1" applyProtection="1">
      <alignment horizontal="center" vertical="center"/>
      <protection locked="0"/>
    </xf>
    <xf numFmtId="0" fontId="10" fillId="0" borderId="2" xfId="4" applyFont="1" applyBorder="1" applyAlignment="1">
      <alignment vertical="center"/>
    </xf>
    <xf numFmtId="0" fontId="10" fillId="0" borderId="3" xfId="4" applyFont="1" applyBorder="1" applyAlignment="1">
      <alignment vertical="center"/>
    </xf>
    <xf numFmtId="0" fontId="10" fillId="0" borderId="3" xfId="4" applyFont="1" applyBorder="1" applyAlignment="1" applyProtection="1">
      <alignment vertical="center"/>
      <protection locked="0"/>
    </xf>
    <xf numFmtId="0" fontId="10" fillId="0" borderId="4" xfId="4" applyFont="1" applyBorder="1" applyAlignment="1" applyProtection="1">
      <alignment vertical="center"/>
      <protection locked="0"/>
    </xf>
    <xf numFmtId="0" fontId="10" fillId="0" borderId="6" xfId="4" applyFont="1" applyBorder="1" applyAlignment="1">
      <alignment vertical="center"/>
    </xf>
    <xf numFmtId="0" fontId="10" fillId="0" borderId="7" xfId="4" applyFont="1" applyBorder="1" applyAlignment="1">
      <alignment vertical="center"/>
    </xf>
    <xf numFmtId="0" fontId="5" fillId="0" borderId="6" xfId="4" applyBorder="1" applyAlignment="1">
      <alignment vertical="center"/>
    </xf>
    <xf numFmtId="0" fontId="5" fillId="0" borderId="8" xfId="4" applyBorder="1" applyAlignment="1">
      <alignment vertical="center"/>
    </xf>
    <xf numFmtId="0" fontId="10" fillId="0" borderId="1" xfId="4" applyFont="1" applyBorder="1" applyAlignment="1">
      <alignment vertical="center"/>
    </xf>
    <xf numFmtId="0" fontId="10" fillId="0" borderId="8" xfId="4" applyFont="1" applyBorder="1" applyAlignment="1">
      <alignment vertical="center"/>
    </xf>
    <xf numFmtId="0" fontId="10" fillId="0" borderId="9" xfId="4" applyFont="1" applyBorder="1" applyAlignment="1">
      <alignment vertical="center"/>
    </xf>
    <xf numFmtId="0" fontId="20" fillId="0" borderId="0" xfId="0" applyFont="1" applyProtection="1">
      <protection hidden="1"/>
    </xf>
    <xf numFmtId="0" fontId="8" fillId="0" borderId="0" xfId="0" applyFont="1" applyProtection="1">
      <protection hidden="1"/>
    </xf>
    <xf numFmtId="0" fontId="8" fillId="0" borderId="0" xfId="0" applyFont="1" applyAlignment="1" applyProtection="1">
      <alignment horizontal="center"/>
      <protection hidden="1"/>
    </xf>
    <xf numFmtId="0" fontId="10" fillId="0" borderId="0" xfId="0" applyFont="1" applyProtection="1">
      <protection hidden="1"/>
    </xf>
    <xf numFmtId="0" fontId="0" fillId="0" borderId="0" xfId="0" applyProtection="1">
      <protection hidden="1"/>
    </xf>
    <xf numFmtId="0" fontId="10" fillId="0" borderId="0" xfId="0" applyFont="1" applyAlignment="1" applyProtection="1">
      <alignment horizontal="center"/>
      <protection hidden="1"/>
    </xf>
    <xf numFmtId="0" fontId="28" fillId="0" borderId="0" xfId="0" applyFont="1" applyAlignment="1" applyProtection="1">
      <alignment horizontal="left"/>
      <protection hidden="1"/>
    </xf>
    <xf numFmtId="0" fontId="28" fillId="0" borderId="0" xfId="0" applyFont="1" applyProtection="1">
      <protection hidden="1"/>
    </xf>
    <xf numFmtId="0" fontId="28" fillId="0" borderId="0" xfId="0" applyFont="1" applyAlignment="1" applyProtection="1">
      <alignment horizontal="center"/>
      <protection hidden="1"/>
    </xf>
    <xf numFmtId="0" fontId="28" fillId="0" borderId="0" xfId="0" applyFont="1" applyAlignment="1" applyProtection="1">
      <alignment horizontal="right"/>
      <protection hidden="1"/>
    </xf>
    <xf numFmtId="167" fontId="28" fillId="0" borderId="0" xfId="0" applyNumberFormat="1" applyFont="1" applyProtection="1">
      <protection hidden="1"/>
    </xf>
    <xf numFmtId="174" fontId="0" fillId="0" borderId="0" xfId="0" applyNumberFormat="1" applyProtection="1">
      <protection hidden="1"/>
    </xf>
    <xf numFmtId="167" fontId="0" fillId="0" borderId="0" xfId="0" applyNumberFormat="1" applyProtection="1">
      <protection hidden="1"/>
    </xf>
    <xf numFmtId="10" fontId="0" fillId="0" borderId="0" xfId="0" applyNumberFormat="1" applyProtection="1">
      <protection hidden="1"/>
    </xf>
    <xf numFmtId="168" fontId="28" fillId="0" borderId="0" xfId="0" applyNumberFormat="1" applyFont="1" applyProtection="1">
      <protection hidden="1"/>
    </xf>
    <xf numFmtId="175" fontId="10" fillId="0" borderId="0" xfId="0" applyNumberFormat="1" applyFont="1" applyProtection="1">
      <protection hidden="1"/>
    </xf>
    <xf numFmtId="175" fontId="28" fillId="0" borderId="0" xfId="0" applyNumberFormat="1" applyFont="1" applyProtection="1">
      <protection hidden="1"/>
    </xf>
    <xf numFmtId="168" fontId="0" fillId="0" borderId="0" xfId="0" applyNumberFormat="1" applyProtection="1">
      <protection hidden="1"/>
    </xf>
    <xf numFmtId="2" fontId="0" fillId="0" borderId="0" xfId="0" applyNumberFormat="1" applyProtection="1">
      <protection hidden="1"/>
    </xf>
    <xf numFmtId="10" fontId="0" fillId="0" borderId="0" xfId="2" applyNumberFormat="1" applyFont="1" applyFill="1" applyBorder="1" applyProtection="1">
      <protection hidden="1"/>
    </xf>
    <xf numFmtId="14" fontId="8" fillId="0" borderId="0" xfId="0" applyNumberFormat="1" applyFont="1" applyProtection="1">
      <protection hidden="1"/>
    </xf>
    <xf numFmtId="0" fontId="29" fillId="4" borderId="5" xfId="0" applyFont="1" applyFill="1" applyBorder="1" applyProtection="1">
      <protection hidden="1"/>
    </xf>
    <xf numFmtId="0" fontId="29" fillId="0" borderId="2" xfId="0" applyFont="1" applyBorder="1" applyProtection="1">
      <protection hidden="1"/>
    </xf>
    <xf numFmtId="0" fontId="29" fillId="0" borderId="3" xfId="0" applyFont="1" applyBorder="1" applyProtection="1">
      <protection hidden="1"/>
    </xf>
    <xf numFmtId="0" fontId="29" fillId="0" borderId="4" xfId="0" applyFont="1" applyBorder="1" applyProtection="1">
      <protection hidden="1"/>
    </xf>
    <xf numFmtId="3" fontId="29" fillId="0" borderId="5" xfId="0" applyNumberFormat="1" applyFont="1" applyBorder="1" applyProtection="1">
      <protection hidden="1"/>
    </xf>
    <xf numFmtId="168" fontId="29" fillId="0" borderId="0" xfId="0" applyNumberFormat="1" applyFont="1" applyProtection="1">
      <protection hidden="1"/>
    </xf>
    <xf numFmtId="0" fontId="29" fillId="0" borderId="0" xfId="0" applyFont="1" applyProtection="1">
      <protection hidden="1"/>
    </xf>
    <xf numFmtId="4" fontId="12" fillId="0" borderId="0" xfId="0" applyNumberFormat="1" applyFont="1" applyProtection="1">
      <protection hidden="1"/>
    </xf>
    <xf numFmtId="0" fontId="12" fillId="0" borderId="0" xfId="0" applyFont="1" applyProtection="1">
      <protection hidden="1"/>
    </xf>
    <xf numFmtId="0" fontId="30" fillId="0" borderId="0" xfId="0" applyFont="1" applyProtection="1">
      <protection hidden="1"/>
    </xf>
    <xf numFmtId="3" fontId="12" fillId="0" borderId="0" xfId="0" applyNumberFormat="1" applyFont="1" applyProtection="1">
      <protection hidden="1"/>
    </xf>
    <xf numFmtId="168" fontId="12" fillId="0" borderId="0" xfId="0" applyNumberFormat="1" applyFont="1" applyProtection="1">
      <protection hidden="1"/>
    </xf>
    <xf numFmtId="14" fontId="12" fillId="0" borderId="0" xfId="0" applyNumberFormat="1" applyFont="1" applyProtection="1">
      <protection hidden="1"/>
    </xf>
    <xf numFmtId="176" fontId="29" fillId="0" borderId="5" xfId="0" applyNumberFormat="1" applyFont="1" applyBorder="1" applyProtection="1">
      <protection hidden="1"/>
    </xf>
    <xf numFmtId="0" fontId="29" fillId="4" borderId="5" xfId="0" applyFont="1" applyFill="1" applyBorder="1" applyAlignment="1" applyProtection="1">
      <alignment horizontal="right"/>
      <protection hidden="1"/>
    </xf>
    <xf numFmtId="4" fontId="29" fillId="0" borderId="5" xfId="0" applyNumberFormat="1" applyFont="1" applyBorder="1" applyProtection="1">
      <protection hidden="1"/>
    </xf>
    <xf numFmtId="0" fontId="29" fillId="0" borderId="5" xfId="0" applyFont="1" applyBorder="1" applyProtection="1">
      <protection hidden="1"/>
    </xf>
    <xf numFmtId="3" fontId="29" fillId="0" borderId="5" xfId="0" applyNumberFormat="1" applyFont="1" applyBorder="1" applyAlignment="1" applyProtection="1">
      <alignment horizontal="right"/>
      <protection hidden="1"/>
    </xf>
    <xf numFmtId="177" fontId="12" fillId="0" borderId="0" xfId="0" applyNumberFormat="1" applyFont="1" applyProtection="1">
      <protection hidden="1"/>
    </xf>
    <xf numFmtId="0" fontId="18" fillId="0" borderId="10" xfId="0" quotePrefix="1" applyFont="1" applyBorder="1" applyProtection="1">
      <protection hidden="1"/>
    </xf>
    <xf numFmtId="3" fontId="8" fillId="0" borderId="0" xfId="0" applyNumberFormat="1" applyFont="1" applyProtection="1">
      <protection hidden="1"/>
    </xf>
    <xf numFmtId="3" fontId="0" fillId="0" borderId="0" xfId="0" applyNumberFormat="1" applyProtection="1">
      <protection hidden="1"/>
    </xf>
    <xf numFmtId="14" fontId="10" fillId="0" borderId="0" xfId="0" applyNumberFormat="1" applyFont="1" applyProtection="1">
      <protection hidden="1"/>
    </xf>
    <xf numFmtId="178" fontId="0" fillId="0" borderId="0" xfId="0" applyNumberFormat="1" applyProtection="1">
      <protection hidden="1"/>
    </xf>
    <xf numFmtId="10" fontId="1" fillId="0" borderId="0" xfId="2" applyNumberFormat="1" applyFill="1" applyBorder="1" applyProtection="1">
      <protection hidden="1"/>
    </xf>
    <xf numFmtId="0" fontId="31" fillId="0" borderId="0" xfId="0" applyFont="1" applyAlignment="1" applyProtection="1">
      <alignment vertical="center"/>
      <protection hidden="1"/>
    </xf>
    <xf numFmtId="179" fontId="10" fillId="0" borderId="0" xfId="0" applyNumberFormat="1" applyFont="1" applyProtection="1">
      <protection hidden="1"/>
    </xf>
    <xf numFmtId="4" fontId="10" fillId="0" borderId="0" xfId="0" applyNumberFormat="1" applyFont="1" applyProtection="1">
      <protection hidden="1"/>
    </xf>
    <xf numFmtId="0" fontId="0" fillId="0" borderId="0" xfId="0" applyAlignment="1" applyProtection="1">
      <alignment wrapText="1"/>
      <protection hidden="1"/>
    </xf>
    <xf numFmtId="0" fontId="0" fillId="0" borderId="0" xfId="0" applyAlignment="1">
      <alignment horizontal="center"/>
    </xf>
    <xf numFmtId="180" fontId="0" fillId="0" borderId="0" xfId="0" applyNumberFormat="1" applyProtection="1">
      <protection hidden="1"/>
    </xf>
    <xf numFmtId="14" fontId="0" fillId="0" borderId="0" xfId="0" applyNumberFormat="1" applyAlignment="1" applyProtection="1">
      <alignment horizontal="left" vertical="center"/>
      <protection hidden="1"/>
    </xf>
    <xf numFmtId="177" fontId="0" fillId="0" borderId="0" xfId="1" applyNumberFormat="1" applyFont="1" applyFill="1" applyBorder="1" applyAlignment="1" applyProtection="1">
      <protection hidden="1"/>
    </xf>
    <xf numFmtId="181" fontId="0" fillId="6" borderId="0" xfId="1" applyNumberFormat="1" applyFont="1" applyFill="1" applyProtection="1">
      <protection locked="0" hidden="1"/>
    </xf>
    <xf numFmtId="177" fontId="0" fillId="2" borderId="0" xfId="1" applyNumberFormat="1" applyFont="1" applyFill="1" applyBorder="1" applyProtection="1"/>
    <xf numFmtId="7" fontId="0" fillId="0" borderId="0" xfId="1" applyNumberFormat="1" applyFont="1" applyFill="1" applyBorder="1" applyAlignment="1" applyProtection="1">
      <protection hidden="1"/>
    </xf>
    <xf numFmtId="44" fontId="0" fillId="6" borderId="0" xfId="1" applyFont="1" applyFill="1" applyProtection="1">
      <protection locked="0" hidden="1"/>
    </xf>
    <xf numFmtId="44" fontId="0" fillId="2" borderId="0" xfId="1" applyFont="1" applyFill="1" applyBorder="1" applyProtection="1"/>
    <xf numFmtId="44" fontId="0" fillId="0" borderId="0" xfId="1" applyFont="1" applyFill="1" applyBorder="1" applyProtection="1">
      <protection hidden="1"/>
    </xf>
    <xf numFmtId="0" fontId="0" fillId="6" borderId="0" xfId="0" applyFill="1" applyProtection="1">
      <protection hidden="1"/>
    </xf>
    <xf numFmtId="10" fontId="1" fillId="0" borderId="0" xfId="2" applyNumberFormat="1" applyProtection="1">
      <protection hidden="1"/>
    </xf>
    <xf numFmtId="14" fontId="0" fillId="0" borderId="0" xfId="0" applyNumberFormat="1" applyProtection="1">
      <protection hidden="1"/>
    </xf>
    <xf numFmtId="167" fontId="0" fillId="0" borderId="0" xfId="1" applyNumberFormat="1" applyFont="1" applyProtection="1">
      <protection hidden="1"/>
    </xf>
    <xf numFmtId="181" fontId="0" fillId="0" borderId="0" xfId="1" applyNumberFormat="1" applyFont="1" applyProtection="1">
      <protection hidden="1"/>
    </xf>
    <xf numFmtId="167" fontId="0" fillId="2" borderId="0" xfId="1" applyNumberFormat="1" applyFont="1" applyFill="1" applyProtection="1">
      <protection hidden="1"/>
    </xf>
    <xf numFmtId="44" fontId="0" fillId="0" borderId="0" xfId="1" applyFont="1" applyProtection="1">
      <protection hidden="1"/>
    </xf>
    <xf numFmtId="44" fontId="0" fillId="2" borderId="0" xfId="1" applyFont="1" applyFill="1" applyProtection="1">
      <protection hidden="1"/>
    </xf>
    <xf numFmtId="0" fontId="10" fillId="0" borderId="0" xfId="7" applyProtection="1">
      <protection hidden="1"/>
    </xf>
    <xf numFmtId="0" fontId="32" fillId="0" borderId="0" xfId="7" applyFont="1" applyProtection="1">
      <protection hidden="1"/>
    </xf>
    <xf numFmtId="0" fontId="23" fillId="0" borderId="0" xfId="7" applyFont="1" applyProtection="1">
      <protection hidden="1"/>
    </xf>
    <xf numFmtId="0" fontId="33" fillId="0" borderId="0" xfId="7" applyFont="1" applyProtection="1">
      <protection hidden="1"/>
    </xf>
    <xf numFmtId="0" fontId="10" fillId="0" borderId="11" xfId="7" applyBorder="1" applyProtection="1">
      <protection hidden="1"/>
    </xf>
    <xf numFmtId="0" fontId="35" fillId="0" borderId="19" xfId="7" applyFont="1" applyBorder="1" applyProtection="1">
      <protection hidden="1"/>
    </xf>
    <xf numFmtId="0" fontId="32" fillId="0" borderId="20" xfId="7" applyFont="1" applyBorder="1" applyProtection="1">
      <protection hidden="1"/>
    </xf>
    <xf numFmtId="0" fontId="32" fillId="0" borderId="21" xfId="7" applyFont="1" applyBorder="1" applyProtection="1">
      <protection hidden="1"/>
    </xf>
    <xf numFmtId="0" fontId="32" fillId="0" borderId="22" xfId="7" applyFont="1" applyBorder="1" applyAlignment="1" applyProtection="1">
      <alignment horizontal="center"/>
      <protection hidden="1"/>
    </xf>
    <xf numFmtId="0" fontId="32" fillId="0" borderId="23" xfId="7" applyFont="1" applyBorder="1" applyProtection="1">
      <protection hidden="1"/>
    </xf>
    <xf numFmtId="0" fontId="32" fillId="0" borderId="24" xfId="7" applyFont="1" applyBorder="1" applyAlignment="1" applyProtection="1">
      <alignment horizontal="center"/>
      <protection hidden="1"/>
    </xf>
    <xf numFmtId="0" fontId="32" fillId="0" borderId="25" xfId="7" applyFont="1" applyBorder="1" applyAlignment="1" applyProtection="1">
      <alignment horizontal="center" wrapText="1"/>
      <protection hidden="1"/>
    </xf>
    <xf numFmtId="9" fontId="1" fillId="0" borderId="0" xfId="2" applyProtection="1">
      <protection hidden="1"/>
    </xf>
    <xf numFmtId="182" fontId="17" fillId="2" borderId="29" xfId="3" applyNumberFormat="1" applyFont="1" applyFill="1" applyBorder="1" applyAlignment="1" applyProtection="1">
      <alignment horizontal="center"/>
      <protection locked="0" hidden="1"/>
    </xf>
    <xf numFmtId="7" fontId="17" fillId="2" borderId="30" xfId="3" applyNumberFormat="1" applyFont="1" applyFill="1" applyBorder="1" applyProtection="1">
      <protection locked="0" hidden="1"/>
    </xf>
    <xf numFmtId="44" fontId="23" fillId="0" borderId="31" xfId="1" applyFont="1" applyBorder="1" applyAlignment="1" applyProtection="1">
      <protection hidden="1"/>
    </xf>
    <xf numFmtId="7" fontId="17" fillId="2" borderId="32" xfId="3" applyNumberFormat="1" applyFont="1" applyFill="1" applyBorder="1" applyProtection="1">
      <protection locked="0" hidden="1"/>
    </xf>
    <xf numFmtId="44" fontId="23" fillId="0" borderId="33" xfId="1" applyFont="1" applyBorder="1" applyAlignment="1" applyProtection="1">
      <protection hidden="1"/>
    </xf>
    <xf numFmtId="10" fontId="17" fillId="0" borderId="33" xfId="2" applyNumberFormat="1" applyFont="1" applyBorder="1" applyProtection="1">
      <protection hidden="1"/>
    </xf>
    <xf numFmtId="44" fontId="23" fillId="0" borderId="36" xfId="1" applyFont="1" applyBorder="1" applyAlignment="1" applyProtection="1">
      <protection hidden="1"/>
    </xf>
    <xf numFmtId="44" fontId="23" fillId="0" borderId="37" xfId="1" applyFont="1" applyBorder="1" applyAlignment="1" applyProtection="1">
      <protection hidden="1"/>
    </xf>
    <xf numFmtId="10" fontId="17" fillId="0" borderId="31" xfId="2" applyNumberFormat="1" applyFont="1" applyBorder="1" applyProtection="1">
      <protection hidden="1"/>
    </xf>
    <xf numFmtId="44" fontId="23" fillId="0" borderId="35" xfId="1" applyFont="1" applyBorder="1" applyAlignment="1" applyProtection="1">
      <protection hidden="1"/>
    </xf>
    <xf numFmtId="44" fontId="23" fillId="0" borderId="35" xfId="1" applyFont="1" applyFill="1" applyBorder="1" applyAlignment="1" applyProtection="1">
      <protection hidden="1"/>
    </xf>
    <xf numFmtId="44" fontId="23" fillId="0" borderId="31" xfId="1" applyFont="1" applyFill="1" applyBorder="1" applyAlignment="1" applyProtection="1">
      <protection hidden="1"/>
    </xf>
    <xf numFmtId="182" fontId="17" fillId="2" borderId="29" xfId="7" applyNumberFormat="1" applyFont="1" applyFill="1" applyBorder="1" applyAlignment="1" applyProtection="1">
      <alignment horizontal="center"/>
      <protection locked="0" hidden="1"/>
    </xf>
    <xf numFmtId="168" fontId="17" fillId="2" borderId="32" xfId="7" applyNumberFormat="1" applyFont="1" applyFill="1" applyBorder="1" applyProtection="1">
      <protection locked="0" hidden="1"/>
    </xf>
    <xf numFmtId="7" fontId="17" fillId="2" borderId="41" xfId="7" applyNumberFormat="1" applyFont="1" applyFill="1" applyBorder="1" applyProtection="1">
      <protection locked="0" hidden="1"/>
    </xf>
    <xf numFmtId="182" fontId="17" fillId="2" borderId="42" xfId="7" applyNumberFormat="1" applyFont="1" applyFill="1" applyBorder="1" applyAlignment="1" applyProtection="1">
      <alignment horizontal="center"/>
      <protection locked="0" hidden="1"/>
    </xf>
    <xf numFmtId="168" fontId="17" fillId="2" borderId="43" xfId="7" applyNumberFormat="1" applyFont="1" applyFill="1" applyBorder="1" applyProtection="1">
      <protection locked="0" hidden="1"/>
    </xf>
    <xf numFmtId="44" fontId="23" fillId="0" borderId="44" xfId="1" applyFont="1" applyFill="1" applyBorder="1" applyAlignment="1" applyProtection="1">
      <protection hidden="1"/>
    </xf>
    <xf numFmtId="183" fontId="32" fillId="0" borderId="20" xfId="7" applyNumberFormat="1" applyFont="1" applyBorder="1" applyAlignment="1" applyProtection="1">
      <alignment horizontal="center"/>
      <protection hidden="1"/>
    </xf>
    <xf numFmtId="7" fontId="32" fillId="0" borderId="21" xfId="6" applyNumberFormat="1" applyFont="1" applyBorder="1" applyAlignment="1" applyProtection="1">
      <protection hidden="1"/>
    </xf>
    <xf numFmtId="168" fontId="32" fillId="0" borderId="22" xfId="8" applyNumberFormat="1" applyFont="1" applyBorder="1" applyAlignment="1" applyProtection="1">
      <protection hidden="1"/>
    </xf>
    <xf numFmtId="168" fontId="32" fillId="0" borderId="21" xfId="6" applyNumberFormat="1" applyFont="1" applyBorder="1" applyAlignment="1" applyProtection="1">
      <protection hidden="1"/>
    </xf>
    <xf numFmtId="10" fontId="36" fillId="0" borderId="22" xfId="2" applyNumberFormat="1" applyFont="1" applyBorder="1" applyAlignment="1" applyProtection="1">
      <protection hidden="1"/>
    </xf>
    <xf numFmtId="184" fontId="0" fillId="0" borderId="0" xfId="0" applyNumberFormat="1" applyProtection="1">
      <protection hidden="1"/>
    </xf>
    <xf numFmtId="7" fontId="10" fillId="0" borderId="0" xfId="7" applyNumberFormat="1" applyProtection="1">
      <protection hidden="1"/>
    </xf>
    <xf numFmtId="0" fontId="10" fillId="6" borderId="45" xfId="7" applyFill="1" applyBorder="1" applyAlignment="1" applyProtection="1">
      <alignment vertical="center"/>
      <protection hidden="1"/>
    </xf>
    <xf numFmtId="7" fontId="17" fillId="2" borderId="46" xfId="6" applyNumberFormat="1" applyFont="1" applyFill="1" applyBorder="1" applyAlignment="1" applyProtection="1">
      <alignment vertical="center"/>
      <protection locked="0" hidden="1"/>
    </xf>
    <xf numFmtId="7" fontId="10" fillId="6" borderId="47" xfId="7" applyNumberFormat="1" applyFill="1" applyBorder="1" applyProtection="1">
      <protection hidden="1"/>
    </xf>
    <xf numFmtId="0" fontId="10" fillId="6" borderId="0" xfId="7" applyFill="1" applyProtection="1">
      <protection hidden="1"/>
    </xf>
    <xf numFmtId="7" fontId="17" fillId="2" borderId="48" xfId="6" applyNumberFormat="1" applyFont="1" applyFill="1" applyBorder="1" applyAlignment="1" applyProtection="1">
      <alignment vertical="center"/>
      <protection locked="0" hidden="1"/>
    </xf>
    <xf numFmtId="10" fontId="17" fillId="0" borderId="37" xfId="2" applyNumberFormat="1" applyFont="1" applyBorder="1" applyProtection="1">
      <protection hidden="1"/>
    </xf>
    <xf numFmtId="7" fontId="17" fillId="2" borderId="49" xfId="6" applyNumberFormat="1" applyFont="1" applyFill="1" applyBorder="1" applyAlignment="1" applyProtection="1">
      <alignment vertical="center"/>
      <protection locked="0" hidden="1"/>
    </xf>
    <xf numFmtId="7" fontId="0" fillId="0" borderId="0" xfId="0" applyNumberFormat="1" applyProtection="1">
      <protection hidden="1"/>
    </xf>
    <xf numFmtId="0" fontId="10" fillId="6" borderId="47" xfId="7" applyFill="1" applyBorder="1" applyProtection="1">
      <protection hidden="1"/>
    </xf>
    <xf numFmtId="7" fontId="17" fillId="2" borderId="50" xfId="6" applyNumberFormat="1" applyFont="1" applyFill="1" applyBorder="1" applyAlignment="1" applyProtection="1">
      <alignment vertical="center"/>
      <protection locked="0" hidden="1"/>
    </xf>
    <xf numFmtId="10" fontId="17" fillId="0" borderId="44" xfId="2" applyNumberFormat="1" applyFont="1" applyBorder="1" applyProtection="1">
      <protection hidden="1"/>
    </xf>
    <xf numFmtId="0" fontId="10" fillId="6" borderId="18" xfId="7" applyFill="1" applyBorder="1" applyProtection="1">
      <protection hidden="1"/>
    </xf>
    <xf numFmtId="7" fontId="32" fillId="0" borderId="51" xfId="6" applyNumberFormat="1" applyFont="1" applyBorder="1" applyAlignment="1" applyProtection="1">
      <protection hidden="1"/>
    </xf>
    <xf numFmtId="10" fontId="37" fillId="6" borderId="19" xfId="2" applyNumberFormat="1" applyFont="1" applyFill="1" applyBorder="1" applyAlignment="1" applyProtection="1">
      <protection hidden="1"/>
    </xf>
    <xf numFmtId="7" fontId="32" fillId="0" borderId="22" xfId="6" applyNumberFormat="1" applyFont="1" applyBorder="1" applyAlignment="1" applyProtection="1">
      <protection hidden="1"/>
    </xf>
    <xf numFmtId="10" fontId="37" fillId="6" borderId="11" xfId="2" applyNumberFormat="1" applyFont="1" applyFill="1" applyBorder="1" applyProtection="1">
      <protection hidden="1"/>
    </xf>
    <xf numFmtId="0" fontId="10" fillId="6" borderId="19" xfId="7" applyFill="1" applyBorder="1" applyProtection="1">
      <protection hidden="1"/>
    </xf>
    <xf numFmtId="7" fontId="2" fillId="0" borderId="0" xfId="6" applyNumberFormat="1" applyFont="1" applyAlignment="1" applyProtection="1">
      <protection hidden="1"/>
    </xf>
    <xf numFmtId="7" fontId="32" fillId="0" borderId="5" xfId="6" applyNumberFormat="1" applyFont="1" applyBorder="1" applyAlignment="1" applyProtection="1">
      <protection hidden="1"/>
    </xf>
    <xf numFmtId="7" fontId="32" fillId="0" borderId="0" xfId="6" applyNumberFormat="1" applyFont="1" applyBorder="1" applyAlignment="1" applyProtection="1">
      <protection hidden="1"/>
    </xf>
    <xf numFmtId="0" fontId="38" fillId="0" borderId="0" xfId="0" applyFont="1" applyProtection="1">
      <protection hidden="1"/>
    </xf>
    <xf numFmtId="0" fontId="10" fillId="7" borderId="0" xfId="0" applyFont="1" applyFill="1" applyProtection="1">
      <protection hidden="1"/>
    </xf>
    <xf numFmtId="49" fontId="39" fillId="0" borderId="0" xfId="0" applyNumberFormat="1" applyFont="1" applyAlignment="1" applyProtection="1">
      <alignment horizontal="center"/>
      <protection hidden="1"/>
    </xf>
    <xf numFmtId="44" fontId="39" fillId="0" borderId="0" xfId="1" applyFont="1" applyBorder="1" applyProtection="1">
      <protection hidden="1"/>
    </xf>
    <xf numFmtId="0" fontId="39" fillId="0" borderId="0" xfId="0" applyFont="1" applyProtection="1">
      <protection hidden="1"/>
    </xf>
    <xf numFmtId="44" fontId="10" fillId="0" borderId="0" xfId="0" applyNumberFormat="1" applyFont="1" applyProtection="1">
      <protection hidden="1"/>
    </xf>
    <xf numFmtId="185" fontId="39" fillId="0" borderId="0" xfId="0" applyNumberFormat="1" applyFont="1" applyProtection="1">
      <protection hidden="1"/>
    </xf>
    <xf numFmtId="185" fontId="10" fillId="0" borderId="0" xfId="0" applyNumberFormat="1" applyFont="1" applyProtection="1">
      <protection hidden="1"/>
    </xf>
    <xf numFmtId="44" fontId="10" fillId="0" borderId="0" xfId="1" applyFont="1" applyFill="1" applyBorder="1" applyProtection="1">
      <protection hidden="1"/>
    </xf>
    <xf numFmtId="44" fontId="39" fillId="0" borderId="0" xfId="0" applyNumberFormat="1" applyFont="1" applyProtection="1">
      <protection hidden="1"/>
    </xf>
    <xf numFmtId="181" fontId="10" fillId="0" borderId="0" xfId="0" applyNumberFormat="1" applyFont="1" applyProtection="1">
      <protection hidden="1"/>
    </xf>
    <xf numFmtId="186" fontId="1" fillId="0" borderId="0" xfId="2" applyNumberFormat="1" applyProtection="1">
      <protection hidden="1"/>
    </xf>
    <xf numFmtId="187" fontId="10" fillId="0" borderId="0" xfId="0" applyNumberFormat="1" applyFont="1" applyProtection="1">
      <protection hidden="1"/>
    </xf>
    <xf numFmtId="0" fontId="10" fillId="9" borderId="5" xfId="0" applyFont="1" applyFill="1" applyBorder="1" applyProtection="1">
      <protection hidden="1"/>
    </xf>
    <xf numFmtId="0" fontId="24" fillId="0" borderId="0" xfId="0" applyFont="1" applyProtection="1">
      <protection hidden="1"/>
    </xf>
    <xf numFmtId="0" fontId="40" fillId="0" borderId="0" xfId="0" applyFont="1" applyProtection="1">
      <protection hidden="1"/>
    </xf>
    <xf numFmtId="14" fontId="8" fillId="7" borderId="5" xfId="0" applyNumberFormat="1" applyFont="1" applyFill="1" applyBorder="1" applyAlignment="1" applyProtection="1">
      <alignment horizontal="center"/>
      <protection hidden="1"/>
    </xf>
    <xf numFmtId="0" fontId="27" fillId="0" borderId="0" xfId="0" applyFont="1" applyProtection="1">
      <protection hidden="1"/>
    </xf>
    <xf numFmtId="0" fontId="10" fillId="0" borderId="0" xfId="0" applyFont="1" applyAlignment="1" applyProtection="1">
      <alignment vertical="center"/>
      <protection hidden="1"/>
    </xf>
    <xf numFmtId="0" fontId="10" fillId="10" borderId="5" xfId="0" applyFont="1" applyFill="1" applyBorder="1" applyAlignment="1" applyProtection="1">
      <alignment vertical="center" wrapText="1"/>
      <protection hidden="1"/>
    </xf>
    <xf numFmtId="0" fontId="10" fillId="10" borderId="5" xfId="0" applyFont="1" applyFill="1" applyBorder="1" applyAlignment="1" applyProtection="1">
      <alignment horizontal="center" vertical="center"/>
      <protection hidden="1"/>
    </xf>
    <xf numFmtId="0" fontId="10" fillId="10" borderId="5" xfId="0" applyFont="1" applyFill="1" applyBorder="1" applyAlignment="1" applyProtection="1">
      <alignment horizontal="center" vertical="center" wrapText="1"/>
      <protection hidden="1"/>
    </xf>
    <xf numFmtId="0" fontId="10" fillId="7" borderId="5" xfId="0" applyFont="1" applyFill="1" applyBorder="1" applyProtection="1">
      <protection locked="0" hidden="1"/>
    </xf>
    <xf numFmtId="14" fontId="10" fillId="7" borderId="5" xfId="0" applyNumberFormat="1" applyFont="1" applyFill="1" applyBorder="1" applyProtection="1">
      <protection locked="0" hidden="1"/>
    </xf>
    <xf numFmtId="0" fontId="10" fillId="7" borderId="5" xfId="0" applyFont="1" applyFill="1" applyBorder="1" applyAlignment="1" applyProtection="1">
      <alignment horizontal="center"/>
      <protection locked="0" hidden="1"/>
    </xf>
    <xf numFmtId="0" fontId="10" fillId="0" borderId="5" xfId="0" applyFont="1" applyBorder="1" applyAlignment="1" applyProtection="1">
      <alignment horizontal="center"/>
      <protection hidden="1"/>
    </xf>
    <xf numFmtId="0" fontId="10" fillId="0" borderId="5" xfId="0" quotePrefix="1" applyFont="1" applyBorder="1" applyAlignment="1" applyProtection="1">
      <alignment horizontal="center" vertical="center"/>
      <protection hidden="1"/>
    </xf>
    <xf numFmtId="0" fontId="10" fillId="0" borderId="5" xfId="0" applyFont="1" applyBorder="1" applyProtection="1">
      <protection hidden="1"/>
    </xf>
    <xf numFmtId="0" fontId="8" fillId="0" borderId="5" xfId="0" applyFont="1" applyBorder="1" applyProtection="1">
      <protection hidden="1"/>
    </xf>
    <xf numFmtId="0" fontId="41" fillId="0" borderId="0" xfId="0" applyFont="1" applyProtection="1">
      <protection hidden="1"/>
    </xf>
    <xf numFmtId="0" fontId="0" fillId="10" borderId="5" xfId="0" applyFill="1" applyBorder="1" applyAlignment="1" applyProtection="1">
      <alignment horizontal="center" vertical="center" wrapText="1"/>
      <protection hidden="1"/>
    </xf>
    <xf numFmtId="3" fontId="10" fillId="0" borderId="0" xfId="0" applyNumberFormat="1" applyFont="1" applyAlignment="1" applyProtection="1">
      <alignment horizontal="center"/>
      <protection hidden="1"/>
    </xf>
    <xf numFmtId="186" fontId="1" fillId="0" borderId="0" xfId="2" applyNumberFormat="1" applyFill="1" applyProtection="1">
      <protection hidden="1"/>
    </xf>
    <xf numFmtId="181" fontId="10" fillId="10" borderId="5" xfId="0" applyNumberFormat="1" applyFont="1" applyFill="1" applyBorder="1" applyAlignment="1" applyProtection="1">
      <alignment horizontal="center" vertical="center" wrapText="1"/>
      <protection hidden="1"/>
    </xf>
    <xf numFmtId="44" fontId="10" fillId="0" borderId="5" xfId="0" applyNumberFormat="1" applyFont="1" applyBorder="1" applyAlignment="1" applyProtection="1">
      <alignment horizontal="center"/>
      <protection hidden="1"/>
    </xf>
    <xf numFmtId="0" fontId="42" fillId="0" borderId="5" xfId="0" applyFont="1" applyBorder="1" applyAlignment="1" applyProtection="1">
      <alignment horizontal="center"/>
      <protection hidden="1"/>
    </xf>
    <xf numFmtId="3" fontId="10" fillId="7" borderId="5" xfId="0" applyNumberFormat="1" applyFont="1" applyFill="1" applyBorder="1" applyAlignment="1" applyProtection="1">
      <alignment horizontal="center"/>
      <protection hidden="1"/>
    </xf>
    <xf numFmtId="186" fontId="1" fillId="0" borderId="5" xfId="2" applyNumberFormat="1" applyBorder="1" applyAlignment="1" applyProtection="1">
      <alignment horizontal="center"/>
      <protection hidden="1"/>
    </xf>
    <xf numFmtId="188" fontId="8" fillId="0" borderId="5" xfId="0" applyNumberFormat="1" applyFont="1" applyBorder="1" applyAlignment="1" applyProtection="1">
      <alignment horizontal="center"/>
      <protection hidden="1"/>
    </xf>
    <xf numFmtId="189" fontId="8" fillId="0" borderId="5" xfId="0" applyNumberFormat="1" applyFont="1" applyBorder="1" applyAlignment="1" applyProtection="1">
      <alignment horizontal="center"/>
      <protection hidden="1"/>
    </xf>
    <xf numFmtId="167" fontId="10" fillId="7" borderId="5" xfId="0" applyNumberFormat="1" applyFont="1" applyFill="1" applyBorder="1" applyAlignment="1" applyProtection="1">
      <alignment horizontal="center"/>
      <protection hidden="1"/>
    </xf>
    <xf numFmtId="14" fontId="10" fillId="2" borderId="5" xfId="3" applyNumberFormat="1" applyFont="1" applyFill="1" applyBorder="1" applyAlignment="1">
      <alignment horizontal="center" vertical="center"/>
    </xf>
    <xf numFmtId="167" fontId="10" fillId="2" borderId="5" xfId="3" applyNumberFormat="1" applyFont="1" applyFill="1" applyBorder="1" applyAlignment="1">
      <alignment horizontal="center" vertical="center"/>
    </xf>
    <xf numFmtId="168" fontId="10" fillId="2" borderId="5" xfId="3" applyNumberFormat="1" applyFont="1" applyFill="1" applyBorder="1" applyAlignment="1">
      <alignment horizontal="center" vertical="center"/>
    </xf>
    <xf numFmtId="0" fontId="15" fillId="2" borderId="5" xfId="3" applyFont="1" applyFill="1" applyBorder="1" applyAlignment="1">
      <alignment horizontal="center" vertical="center"/>
    </xf>
    <xf numFmtId="3" fontId="15" fillId="2" borderId="5" xfId="3" applyNumberFormat="1" applyFont="1" applyFill="1" applyBorder="1" applyAlignment="1">
      <alignment vertical="center"/>
    </xf>
    <xf numFmtId="172" fontId="10" fillId="2" borderId="5" xfId="3" applyNumberFormat="1" applyFont="1" applyFill="1" applyBorder="1" applyAlignment="1">
      <alignment vertical="center"/>
    </xf>
    <xf numFmtId="0" fontId="5" fillId="2" borderId="5" xfId="4" applyFill="1" applyBorder="1" applyAlignment="1">
      <alignment horizontal="center" vertical="center"/>
    </xf>
    <xf numFmtId="44" fontId="10" fillId="7" borderId="0" xfId="1" applyFont="1" applyFill="1" applyBorder="1" applyProtection="1">
      <protection hidden="1"/>
    </xf>
    <xf numFmtId="44" fontId="10" fillId="7" borderId="0" xfId="0" applyNumberFormat="1" applyFont="1" applyFill="1" applyProtection="1">
      <protection hidden="1"/>
    </xf>
    <xf numFmtId="0" fontId="18" fillId="0" borderId="5" xfId="3" applyFont="1" applyBorder="1" applyAlignment="1">
      <alignment horizontal="center" vertical="center"/>
    </xf>
    <xf numFmtId="0" fontId="15" fillId="0" borderId="3" xfId="3" applyFont="1" applyBorder="1" applyAlignment="1">
      <alignment vertical="center"/>
    </xf>
    <xf numFmtId="0" fontId="10" fillId="0" borderId="5" xfId="3" applyFont="1" applyBorder="1" applyAlignment="1">
      <alignment vertical="center" wrapText="1"/>
    </xf>
    <xf numFmtId="0" fontId="10" fillId="0" borderId="2" xfId="3" applyFont="1" applyBorder="1" applyAlignment="1">
      <alignment vertical="center"/>
    </xf>
    <xf numFmtId="0" fontId="10" fillId="0" borderId="3" xfId="3" applyFont="1" applyBorder="1" applyAlignment="1">
      <alignment vertical="center"/>
    </xf>
    <xf numFmtId="0" fontId="10" fillId="0" borderId="0" xfId="3" applyFont="1" applyAlignment="1">
      <alignment vertical="center"/>
    </xf>
    <xf numFmtId="0" fontId="17" fillId="0" borderId="0" xfId="4" applyFont="1" applyAlignment="1">
      <alignment vertical="center"/>
    </xf>
    <xf numFmtId="0" fontId="0" fillId="0" borderId="5" xfId="3" applyFont="1" applyBorder="1" applyAlignment="1">
      <alignment vertical="center" wrapText="1"/>
    </xf>
    <xf numFmtId="0" fontId="0" fillId="0" borderId="0" xfId="0" applyAlignment="1" applyProtection="1">
      <alignment horizontal="center"/>
      <protection hidden="1"/>
    </xf>
    <xf numFmtId="0" fontId="10" fillId="0" borderId="0" xfId="0" applyFont="1" applyAlignment="1" applyProtection="1">
      <alignment horizontal="center"/>
      <protection hidden="1"/>
    </xf>
    <xf numFmtId="0" fontId="32" fillId="0" borderId="0" xfId="7" applyFont="1" applyAlignment="1" applyProtection="1">
      <alignment horizontal="left"/>
      <protection hidden="1"/>
    </xf>
    <xf numFmtId="0" fontId="17" fillId="0" borderId="0" xfId="4" applyFont="1" applyAlignment="1">
      <alignment vertical="center"/>
    </xf>
    <xf numFmtId="0" fontId="0" fillId="0" borderId="5" xfId="3" applyFont="1" applyBorder="1" applyAlignment="1">
      <alignment vertical="center" wrapText="1"/>
    </xf>
    <xf numFmtId="0" fontId="10" fillId="0" borderId="5" xfId="3" applyFont="1" applyBorder="1" applyAlignment="1">
      <alignment vertical="center" wrapText="1"/>
    </xf>
    <xf numFmtId="0" fontId="0" fillId="0" borderId="2" xfId="5" applyFont="1" applyBorder="1" applyAlignment="1">
      <alignment vertical="center" wrapText="1"/>
    </xf>
    <xf numFmtId="0" fontId="10" fillId="0" borderId="3" xfId="5" applyFont="1" applyBorder="1" applyAlignment="1">
      <alignment vertical="center" wrapText="1"/>
    </xf>
    <xf numFmtId="0" fontId="10" fillId="0" borderId="4" xfId="5" applyFont="1" applyBorder="1" applyAlignment="1">
      <alignment vertical="center" wrapText="1"/>
    </xf>
    <xf numFmtId="0" fontId="10" fillId="0" borderId="2" xfId="5" applyFont="1" applyBorder="1" applyAlignment="1">
      <alignment vertical="center" wrapText="1"/>
    </xf>
    <xf numFmtId="0" fontId="10" fillId="2" borderId="2" xfId="3" applyFont="1" applyFill="1" applyBorder="1" applyAlignment="1">
      <alignment vertical="center"/>
    </xf>
    <xf numFmtId="0" fontId="10" fillId="2" borderId="3" xfId="3" applyFont="1" applyFill="1" applyBorder="1" applyAlignment="1">
      <alignment vertical="center"/>
    </xf>
    <xf numFmtId="0" fontId="10" fillId="2" borderId="4" xfId="3" applyFont="1" applyFill="1" applyBorder="1" applyAlignment="1">
      <alignment vertical="center"/>
    </xf>
    <xf numFmtId="173" fontId="0" fillId="2" borderId="2" xfId="3" applyNumberFormat="1" applyFont="1" applyFill="1" applyBorder="1" applyAlignment="1">
      <alignment horizontal="center" vertical="center"/>
    </xf>
    <xf numFmtId="173" fontId="0" fillId="2" borderId="3" xfId="3" applyNumberFormat="1" applyFont="1" applyFill="1" applyBorder="1" applyAlignment="1">
      <alignment horizontal="center" vertical="center"/>
    </xf>
    <xf numFmtId="173" fontId="0" fillId="2" borderId="4" xfId="3" applyNumberFormat="1" applyFont="1" applyFill="1" applyBorder="1" applyAlignment="1">
      <alignment horizontal="center" vertical="center"/>
    </xf>
    <xf numFmtId="2" fontId="0" fillId="2" borderId="2" xfId="3" applyNumberFormat="1" applyFont="1" applyFill="1" applyBorder="1" applyAlignment="1">
      <alignment horizontal="center" vertical="center"/>
    </xf>
    <xf numFmtId="2" fontId="0" fillId="2" borderId="4" xfId="3" applyNumberFormat="1" applyFont="1" applyFill="1" applyBorder="1" applyAlignment="1">
      <alignment horizontal="center" vertical="center"/>
    </xf>
    <xf numFmtId="0" fontId="10" fillId="0" borderId="0" xfId="3" applyFont="1" applyAlignment="1">
      <alignment vertical="center"/>
    </xf>
    <xf numFmtId="172" fontId="10" fillId="0" borderId="2" xfId="3" applyNumberFormat="1" applyFont="1" applyBorder="1" applyAlignment="1">
      <alignment vertical="center"/>
    </xf>
    <xf numFmtId="172" fontId="10" fillId="0" borderId="3" xfId="3" applyNumberFormat="1" applyFont="1" applyBorder="1" applyAlignment="1">
      <alignment vertical="center"/>
    </xf>
    <xf numFmtId="172" fontId="10" fillId="0" borderId="4" xfId="3" applyNumberFormat="1" applyFont="1" applyBorder="1" applyAlignment="1">
      <alignment vertical="center"/>
    </xf>
    <xf numFmtId="0" fontId="18" fillId="0" borderId="1" xfId="3" applyFont="1" applyBorder="1" applyAlignment="1">
      <alignment horizontal="center" vertical="center"/>
    </xf>
    <xf numFmtId="0" fontId="18" fillId="0" borderId="5" xfId="3" applyFont="1" applyBorder="1" applyAlignment="1">
      <alignment horizontal="center" vertical="center"/>
    </xf>
    <xf numFmtId="0" fontId="15" fillId="2" borderId="2" xfId="3" applyFont="1" applyFill="1" applyBorder="1" applyAlignment="1" applyProtection="1">
      <alignment horizontal="center" vertical="center"/>
      <protection locked="0"/>
    </xf>
    <xf numFmtId="0" fontId="15" fillId="2" borderId="4" xfId="3" applyFont="1" applyFill="1" applyBorder="1" applyAlignment="1" applyProtection="1">
      <alignment horizontal="center" vertical="center"/>
      <protection locked="0"/>
    </xf>
    <xf numFmtId="0" fontId="15" fillId="0" borderId="3" xfId="3" applyFont="1" applyBorder="1" applyAlignment="1">
      <alignment vertical="center"/>
    </xf>
    <xf numFmtId="0" fontId="10" fillId="0" borderId="2" xfId="3" applyFont="1" applyBorder="1" applyAlignment="1">
      <alignment vertical="center"/>
    </xf>
    <xf numFmtId="0" fontId="10" fillId="0" borderId="3" xfId="3" applyFont="1" applyBorder="1" applyAlignment="1">
      <alignment vertical="center"/>
    </xf>
    <xf numFmtId="0" fontId="10" fillId="0" borderId="4" xfId="3" applyFont="1" applyBorder="1" applyAlignment="1">
      <alignment vertical="center"/>
    </xf>
    <xf numFmtId="0" fontId="0" fillId="0" borderId="0" xfId="3" applyFont="1" applyAlignment="1">
      <alignment horizontal="left" vertical="center"/>
    </xf>
    <xf numFmtId="0" fontId="0" fillId="2" borderId="2" xfId="3" applyFont="1" applyFill="1" applyBorder="1" applyAlignment="1" applyProtection="1">
      <alignment vertical="center"/>
      <protection locked="0"/>
    </xf>
    <xf numFmtId="0" fontId="10" fillId="2" borderId="3" xfId="3" applyFont="1" applyFill="1" applyBorder="1" applyAlignment="1" applyProtection="1">
      <alignment vertical="center"/>
      <protection locked="0"/>
    </xf>
    <xf numFmtId="0" fontId="10" fillId="2" borderId="4" xfId="3" applyFont="1" applyFill="1" applyBorder="1" applyAlignment="1" applyProtection="1">
      <alignment vertical="center"/>
      <protection locked="0"/>
    </xf>
    <xf numFmtId="0" fontId="8" fillId="0" borderId="1" xfId="3" applyFont="1" applyBorder="1" applyAlignment="1">
      <alignment horizontal="center" vertical="center"/>
    </xf>
    <xf numFmtId="0" fontId="12" fillId="2" borderId="2" xfId="3" applyFont="1" applyFill="1" applyBorder="1" applyAlignment="1" applyProtection="1">
      <alignment vertical="center"/>
      <protection locked="0"/>
    </xf>
    <xf numFmtId="0" fontId="12" fillId="2" borderId="3" xfId="3" applyFont="1" applyFill="1" applyBorder="1" applyAlignment="1" applyProtection="1">
      <alignment vertical="center"/>
      <protection locked="0"/>
    </xf>
    <xf numFmtId="0" fontId="12" fillId="2" borderId="4" xfId="3" applyFont="1" applyFill="1" applyBorder="1" applyAlignment="1" applyProtection="1">
      <alignment vertical="center"/>
      <protection locked="0"/>
    </xf>
    <xf numFmtId="164" fontId="12" fillId="2" borderId="2" xfId="3" applyNumberFormat="1" applyFont="1" applyFill="1" applyBorder="1" applyAlignment="1" applyProtection="1">
      <alignment horizontal="center" vertical="center"/>
      <protection locked="0"/>
    </xf>
    <xf numFmtId="164" fontId="12" fillId="2" borderId="4" xfId="3" applyNumberFormat="1" applyFont="1" applyFill="1" applyBorder="1" applyAlignment="1" applyProtection="1">
      <alignment horizontal="center" vertical="center"/>
      <protection locked="0"/>
    </xf>
    <xf numFmtId="0" fontId="12" fillId="2" borderId="2" xfId="3" applyFont="1" applyFill="1" applyBorder="1" applyAlignment="1" applyProtection="1">
      <alignment horizontal="center" vertical="center"/>
      <protection locked="0"/>
    </xf>
    <xf numFmtId="0" fontId="12" fillId="2" borderId="4" xfId="3" applyFont="1" applyFill="1" applyBorder="1" applyAlignment="1" applyProtection="1">
      <alignment horizontal="center" vertical="center"/>
      <protection locked="0"/>
    </xf>
    <xf numFmtId="0" fontId="10" fillId="2" borderId="2" xfId="3" applyFont="1" applyFill="1" applyBorder="1" applyAlignment="1" applyProtection="1">
      <alignment horizontal="center" vertical="center"/>
      <protection locked="0"/>
    </xf>
    <xf numFmtId="0" fontId="10" fillId="2" borderId="4" xfId="3" applyFont="1" applyFill="1" applyBorder="1" applyAlignment="1" applyProtection="1">
      <alignment horizontal="center" vertical="center"/>
      <protection locked="0"/>
    </xf>
    <xf numFmtId="0" fontId="0" fillId="2" borderId="3" xfId="3" applyFont="1" applyFill="1" applyBorder="1" applyAlignment="1" applyProtection="1">
      <alignment vertical="center"/>
      <protection locked="0"/>
    </xf>
    <xf numFmtId="0" fontId="0" fillId="2" borderId="4" xfId="3" applyFont="1" applyFill="1" applyBorder="1" applyAlignment="1" applyProtection="1">
      <alignment vertical="center"/>
      <protection locked="0"/>
    </xf>
    <xf numFmtId="0" fontId="0" fillId="0" borderId="0" xfId="0" applyAlignment="1" applyProtection="1">
      <alignment horizontal="center"/>
      <protection hidden="1"/>
    </xf>
    <xf numFmtId="174" fontId="10" fillId="0" borderId="0" xfId="0" applyNumberFormat="1" applyFont="1" applyAlignment="1" applyProtection="1">
      <alignment horizontal="right"/>
      <protection hidden="1"/>
    </xf>
    <xf numFmtId="44" fontId="10" fillId="0" borderId="0" xfId="1" applyFont="1" applyFill="1" applyBorder="1" applyAlignment="1" applyProtection="1">
      <alignment horizontal="center"/>
      <protection hidden="1"/>
    </xf>
    <xf numFmtId="0" fontId="0" fillId="0" borderId="0" xfId="0" applyAlignment="1" applyProtection="1">
      <alignment horizontal="left"/>
      <protection hidden="1"/>
    </xf>
    <xf numFmtId="0" fontId="10" fillId="5" borderId="0" xfId="0" applyFont="1" applyFill="1" applyAlignment="1" applyProtection="1">
      <alignment horizontal="center"/>
      <protection hidden="1"/>
    </xf>
    <xf numFmtId="0" fontId="0" fillId="5" borderId="0" xfId="0" applyFill="1" applyAlignment="1" applyProtection="1">
      <alignment horizontal="center"/>
      <protection hidden="1"/>
    </xf>
    <xf numFmtId="0" fontId="8" fillId="0" borderId="0" xfId="0" applyFont="1" applyAlignment="1" applyProtection="1">
      <alignment horizontal="center" vertical="center" wrapText="1"/>
      <protection hidden="1"/>
    </xf>
    <xf numFmtId="0" fontId="10" fillId="0" borderId="0" xfId="0" applyFont="1" applyAlignment="1" applyProtection="1">
      <alignment horizontal="center"/>
      <protection hidden="1"/>
    </xf>
    <xf numFmtId="0" fontId="32" fillId="0" borderId="12" xfId="7" applyFont="1" applyBorder="1" applyAlignment="1" applyProtection="1">
      <alignment horizontal="left"/>
      <protection hidden="1"/>
    </xf>
    <xf numFmtId="0" fontId="32" fillId="0" borderId="13" xfId="7" applyFont="1" applyBorder="1" applyAlignment="1" applyProtection="1">
      <alignment horizontal="left"/>
      <protection hidden="1"/>
    </xf>
    <xf numFmtId="0" fontId="32" fillId="0" borderId="14" xfId="7" applyFont="1" applyBorder="1" applyAlignment="1" applyProtection="1">
      <alignment horizontal="left"/>
      <protection hidden="1"/>
    </xf>
    <xf numFmtId="0" fontId="10" fillId="0" borderId="3" xfId="7" applyBorder="1" applyAlignment="1" applyProtection="1">
      <alignment horizontal="left" vertical="center"/>
      <protection hidden="1"/>
    </xf>
    <xf numFmtId="0" fontId="10" fillId="0" borderId="10" xfId="7" applyBorder="1" applyAlignment="1" applyProtection="1">
      <alignment horizontal="left" vertical="center"/>
      <protection hidden="1"/>
    </xf>
    <xf numFmtId="0" fontId="35" fillId="8" borderId="15" xfId="7" applyFont="1" applyFill="1" applyBorder="1" applyAlignment="1" applyProtection="1">
      <alignment horizontal="center" vertical="center"/>
      <protection hidden="1"/>
    </xf>
    <xf numFmtId="0" fontId="35" fillId="8" borderId="16" xfId="7" applyFont="1" applyFill="1" applyBorder="1" applyAlignment="1" applyProtection="1">
      <alignment horizontal="center" vertical="center"/>
      <protection hidden="1"/>
    </xf>
    <xf numFmtId="0" fontId="35" fillId="8" borderId="17" xfId="7" applyFont="1" applyFill="1" applyBorder="1" applyAlignment="1" applyProtection="1">
      <alignment horizontal="center" vertical="center"/>
      <protection hidden="1"/>
    </xf>
    <xf numFmtId="0" fontId="35" fillId="8" borderId="18" xfId="7" applyFont="1" applyFill="1" applyBorder="1" applyAlignment="1" applyProtection="1">
      <alignment horizontal="center" vertical="center"/>
      <protection hidden="1"/>
    </xf>
    <xf numFmtId="0" fontId="35" fillId="8" borderId="11" xfId="7" applyFont="1" applyFill="1" applyBorder="1" applyAlignment="1" applyProtection="1">
      <alignment horizontal="center" vertical="center"/>
      <protection hidden="1"/>
    </xf>
    <xf numFmtId="0" fontId="35" fillId="8" borderId="19" xfId="7" applyFont="1" applyFill="1" applyBorder="1" applyAlignment="1" applyProtection="1">
      <alignment horizontal="center" vertical="center"/>
      <protection hidden="1"/>
    </xf>
    <xf numFmtId="0" fontId="35" fillId="8" borderId="0" xfId="7" applyFont="1" applyFill="1" applyAlignment="1" applyProtection="1">
      <alignment horizontal="center" vertical="center"/>
      <protection hidden="1"/>
    </xf>
    <xf numFmtId="0" fontId="10" fillId="0" borderId="34" xfId="7" applyBorder="1" applyAlignment="1" applyProtection="1">
      <alignment horizontal="left" vertical="center" wrapText="1"/>
      <protection hidden="1"/>
    </xf>
    <xf numFmtId="0" fontId="10" fillId="0" borderId="3" xfId="7" applyBorder="1" applyAlignment="1" applyProtection="1">
      <alignment horizontal="left" vertical="center" wrapText="1"/>
      <protection hidden="1"/>
    </xf>
    <xf numFmtId="0" fontId="10" fillId="0" borderId="35" xfId="7" applyBorder="1" applyAlignment="1" applyProtection="1">
      <alignment horizontal="left" vertical="center" wrapText="1"/>
      <protection hidden="1"/>
    </xf>
    <xf numFmtId="0" fontId="10" fillId="0" borderId="38" xfId="7" applyBorder="1" applyAlignment="1" applyProtection="1">
      <alignment horizontal="left" vertical="center" wrapText="1"/>
      <protection hidden="1"/>
    </xf>
    <xf numFmtId="0" fontId="10" fillId="0" borderId="39" xfId="7" applyBorder="1" applyAlignment="1" applyProtection="1">
      <alignment horizontal="left" vertical="center" wrapText="1"/>
      <protection hidden="1"/>
    </xf>
    <xf numFmtId="0" fontId="10" fillId="0" borderId="40" xfId="7" applyBorder="1" applyAlignment="1" applyProtection="1">
      <alignment horizontal="left" vertical="center" wrapText="1"/>
      <protection hidden="1"/>
    </xf>
    <xf numFmtId="0" fontId="32" fillId="0" borderId="0" xfId="7" applyFont="1" applyAlignment="1" applyProtection="1">
      <alignment horizontal="left"/>
      <protection hidden="1"/>
    </xf>
    <xf numFmtId="0" fontId="34" fillId="0" borderId="15" xfId="7" applyFont="1" applyBorder="1" applyAlignment="1" applyProtection="1">
      <alignment horizontal="center" vertical="center"/>
      <protection hidden="1"/>
    </xf>
    <xf numFmtId="0" fontId="34" fillId="0" borderId="16" xfId="7" applyFont="1" applyBorder="1" applyAlignment="1" applyProtection="1">
      <alignment horizontal="center" vertical="center"/>
      <protection hidden="1"/>
    </xf>
    <xf numFmtId="0" fontId="34" fillId="0" borderId="17" xfId="7" applyFont="1" applyBorder="1" applyAlignment="1" applyProtection="1">
      <alignment horizontal="center" vertical="center"/>
      <protection hidden="1"/>
    </xf>
    <xf numFmtId="0" fontId="34" fillId="0" borderId="18" xfId="7" applyFont="1" applyBorder="1" applyAlignment="1" applyProtection="1">
      <alignment horizontal="center" vertical="center"/>
      <protection hidden="1"/>
    </xf>
    <xf numFmtId="0" fontId="34" fillId="0" borderId="11" xfId="7" applyFont="1" applyBorder="1" applyAlignment="1" applyProtection="1">
      <alignment horizontal="center" vertical="center"/>
      <protection hidden="1"/>
    </xf>
    <xf numFmtId="0" fontId="34" fillId="0" borderId="19" xfId="7" applyFont="1" applyBorder="1" applyAlignment="1" applyProtection="1">
      <alignment horizontal="center" vertical="center"/>
      <protection hidden="1"/>
    </xf>
    <xf numFmtId="0" fontId="10" fillId="0" borderId="11" xfId="7" applyBorder="1" applyAlignment="1" applyProtection="1">
      <alignment horizontal="left"/>
      <protection hidden="1"/>
    </xf>
    <xf numFmtId="0" fontId="32" fillId="7" borderId="12" xfId="7" applyFont="1" applyFill="1" applyBorder="1" applyAlignment="1" applyProtection="1">
      <alignment horizontal="center"/>
      <protection hidden="1"/>
    </xf>
    <xf numFmtId="0" fontId="32" fillId="7" borderId="13" xfId="7" applyFont="1" applyFill="1" applyBorder="1" applyAlignment="1" applyProtection="1">
      <alignment horizontal="center"/>
      <protection hidden="1"/>
    </xf>
    <xf numFmtId="0" fontId="32" fillId="7" borderId="14" xfId="7" applyFont="1" applyFill="1" applyBorder="1" applyAlignment="1" applyProtection="1">
      <alignment horizontal="center"/>
      <protection hidden="1"/>
    </xf>
    <xf numFmtId="165" fontId="32" fillId="7" borderId="12" xfId="7" applyNumberFormat="1" applyFont="1" applyFill="1" applyBorder="1" applyAlignment="1" applyProtection="1">
      <alignment horizontal="center"/>
      <protection hidden="1"/>
    </xf>
    <xf numFmtId="165" fontId="32" fillId="7" borderId="14" xfId="7" applyNumberFormat="1" applyFont="1" applyFill="1" applyBorder="1" applyAlignment="1" applyProtection="1">
      <alignment horizontal="center"/>
      <protection hidden="1"/>
    </xf>
    <xf numFmtId="1" fontId="35" fillId="8" borderId="12" xfId="7" applyNumberFormat="1" applyFont="1" applyFill="1" applyBorder="1" applyAlignment="1" applyProtection="1">
      <alignment horizontal="center" vertical="center"/>
      <protection hidden="1"/>
    </xf>
    <xf numFmtId="1" fontId="35" fillId="8" borderId="13" xfId="7" applyNumberFormat="1" applyFont="1" applyFill="1" applyBorder="1" applyAlignment="1" applyProtection="1">
      <alignment horizontal="center" vertical="center"/>
      <protection hidden="1"/>
    </xf>
    <xf numFmtId="1" fontId="35" fillId="8" borderId="14" xfId="7" applyNumberFormat="1" applyFont="1" applyFill="1" applyBorder="1" applyAlignment="1" applyProtection="1">
      <alignment horizontal="center" vertical="center"/>
      <protection hidden="1"/>
    </xf>
    <xf numFmtId="0" fontId="35" fillId="8" borderId="12" xfId="7" applyFont="1" applyFill="1" applyBorder="1" applyAlignment="1" applyProtection="1">
      <alignment horizontal="center" vertical="center"/>
      <protection hidden="1"/>
    </xf>
    <xf numFmtId="0" fontId="35" fillId="8" borderId="13" xfId="7" applyFont="1" applyFill="1" applyBorder="1" applyAlignment="1" applyProtection="1">
      <alignment horizontal="center" vertical="center"/>
      <protection hidden="1"/>
    </xf>
    <xf numFmtId="0" fontId="35" fillId="8" borderId="14" xfId="7" applyFont="1" applyFill="1" applyBorder="1" applyAlignment="1" applyProtection="1">
      <alignment horizontal="center" vertical="center"/>
      <protection hidden="1"/>
    </xf>
    <xf numFmtId="0" fontId="0" fillId="0" borderId="26" xfId="7" applyFont="1" applyBorder="1" applyAlignment="1" applyProtection="1">
      <alignment horizontal="left" vertical="center" wrapText="1"/>
      <protection hidden="1"/>
    </xf>
    <xf numFmtId="0" fontId="0" fillId="0" borderId="27" xfId="0" applyBorder="1" applyAlignment="1" applyProtection="1">
      <alignment horizontal="left" vertical="center" wrapText="1"/>
      <protection hidden="1"/>
    </xf>
    <xf numFmtId="0" fontId="0" fillId="0" borderId="28" xfId="0" applyBorder="1" applyAlignment="1" applyProtection="1">
      <alignment horizontal="left" vertical="center" wrapText="1"/>
      <protection hidden="1"/>
    </xf>
    <xf numFmtId="0" fontId="0" fillId="0" borderId="34" xfId="7" applyFont="1" applyBorder="1" applyAlignment="1" applyProtection="1">
      <alignment horizontal="left" vertical="center" wrapText="1"/>
      <protection hidden="1"/>
    </xf>
  </cellXfs>
  <cellStyles count="9">
    <cellStyle name="Prozent" xfId="2" builtinId="5"/>
    <cellStyle name="Prozent 2 2" xfId="8" xr:uid="{C28FCC8A-7C85-4A08-AEB5-506C593DF4B8}"/>
    <cellStyle name="Standard" xfId="0" builtinId="0"/>
    <cellStyle name="Standard 2" xfId="4" xr:uid="{B9B75D0C-59B2-4327-83D5-9C42835335E4}"/>
    <cellStyle name="Standard 2 2" xfId="7" xr:uid="{31B71E84-2355-4339-B1A5-D5B695F67E83}"/>
    <cellStyle name="Standard 2 2 2" xfId="3" xr:uid="{8D215292-8B12-432F-982F-FA86B1B1AAE7}"/>
    <cellStyle name="Standard_21 9 2010 Nachweis vereinfachtes Verfahren" xfId="5" xr:uid="{62F7B490-083D-4184-83AC-29C77024845D}"/>
    <cellStyle name="Währung" xfId="1" builtinId="4"/>
    <cellStyle name="Währung 2" xfId="6" xr:uid="{8E3C9BCC-1094-419C-BCF9-E1464CC1DFDF}"/>
  </cellStyles>
  <dxfs count="11">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ill>
        <patternFill patternType="none">
          <bgColor auto="1"/>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41EB9-E37F-4038-B364-EEE7F531BB55}">
  <sheetPr>
    <tabColor theme="9" tint="0.79998168889431442"/>
  </sheetPr>
  <dimension ref="A1:Q133"/>
  <sheetViews>
    <sheetView showGridLines="0" tabSelected="1" workbookViewId="0">
      <selection activeCell="N18" sqref="N18"/>
    </sheetView>
  </sheetViews>
  <sheetFormatPr defaultColWidth="11.42578125" defaultRowHeight="14.25"/>
  <cols>
    <col min="1" max="1" width="6.42578125" style="11" customWidth="1"/>
    <col min="2" max="2" width="11.28515625" style="11" customWidth="1"/>
    <col min="3" max="5" width="16.7109375" style="11" customWidth="1"/>
    <col min="6" max="6" width="16.42578125" style="11" customWidth="1"/>
    <col min="7" max="7" width="11.7109375" style="11" customWidth="1"/>
    <col min="8" max="8" width="14.28515625" style="11" customWidth="1"/>
    <col min="9" max="9" width="10.7109375" style="11" customWidth="1"/>
    <col min="10" max="10" width="6.42578125" style="11" customWidth="1"/>
    <col min="11" max="19" width="16.28515625" style="11" customWidth="1"/>
    <col min="20" max="16384" width="11.42578125" style="11"/>
  </cols>
  <sheetData>
    <row r="1" spans="1:17" s="4" customFormat="1" ht="15" customHeight="1">
      <c r="A1" s="1" t="s">
        <v>0</v>
      </c>
      <c r="B1" s="1"/>
      <c r="C1" s="1"/>
      <c r="D1" s="2"/>
      <c r="E1" s="2"/>
      <c r="F1" s="2"/>
      <c r="G1" s="2"/>
      <c r="H1" s="3"/>
      <c r="I1" s="3"/>
      <c r="J1" s="3"/>
      <c r="K1" s="3"/>
      <c r="L1" s="3"/>
      <c r="M1" s="3"/>
      <c r="N1" s="3"/>
      <c r="O1" s="3"/>
      <c r="P1" s="3"/>
      <c r="Q1" s="3"/>
    </row>
    <row r="2" spans="1:17" ht="6" customHeight="1">
      <c r="A2" s="5"/>
      <c r="B2" s="5"/>
      <c r="C2" s="5"/>
      <c r="D2" s="5"/>
      <c r="E2" s="5"/>
      <c r="F2" s="5"/>
      <c r="G2" s="6"/>
      <c r="H2" s="7"/>
      <c r="I2" s="7"/>
      <c r="J2" s="8"/>
      <c r="K2" s="9"/>
      <c r="L2" s="9"/>
      <c r="M2" s="9"/>
      <c r="N2" s="9"/>
      <c r="O2" s="10"/>
    </row>
    <row r="3" spans="1:17" ht="15" customHeight="1">
      <c r="A3" s="314" t="s">
        <v>1</v>
      </c>
      <c r="B3" s="314"/>
      <c r="C3" s="314"/>
      <c r="D3" s="314"/>
      <c r="E3" s="314" t="s">
        <v>2</v>
      </c>
      <c r="F3" s="314"/>
      <c r="G3" s="314"/>
      <c r="H3" s="7"/>
      <c r="I3" s="7"/>
      <c r="J3" s="7"/>
      <c r="K3" s="7"/>
      <c r="L3" s="7"/>
      <c r="M3" s="7"/>
      <c r="N3" s="8"/>
    </row>
    <row r="4" spans="1:17" ht="15" customHeight="1">
      <c r="A4" s="315"/>
      <c r="B4" s="316"/>
      <c r="C4" s="316"/>
      <c r="D4" s="317"/>
      <c r="E4" s="315"/>
      <c r="F4" s="316"/>
      <c r="G4" s="317"/>
      <c r="H4" s="12"/>
      <c r="I4" s="9"/>
      <c r="J4" s="9"/>
      <c r="K4" s="9"/>
      <c r="L4" s="9"/>
      <c r="M4" s="13"/>
      <c r="N4" s="8"/>
    </row>
    <row r="5" spans="1:17" ht="15" customHeight="1">
      <c r="A5" s="315"/>
      <c r="B5" s="316"/>
      <c r="C5" s="316"/>
      <c r="D5" s="317"/>
      <c r="E5" s="315"/>
      <c r="F5" s="316"/>
      <c r="G5" s="317"/>
      <c r="H5" s="12"/>
      <c r="I5" s="9"/>
      <c r="J5" s="8"/>
      <c r="K5" s="8"/>
      <c r="L5" s="8"/>
      <c r="M5" s="8"/>
      <c r="N5" s="8"/>
    </row>
    <row r="6" spans="1:17" ht="15" customHeight="1">
      <c r="A6" s="318"/>
      <c r="B6" s="319"/>
      <c r="C6" s="320"/>
      <c r="D6" s="321"/>
      <c r="E6" s="14"/>
      <c r="F6" s="320"/>
      <c r="G6" s="321"/>
      <c r="H6" s="12"/>
      <c r="I6" s="9"/>
      <c r="J6" s="8"/>
      <c r="K6" s="8"/>
      <c r="L6" s="8"/>
      <c r="M6" s="8"/>
      <c r="N6" s="8"/>
    </row>
    <row r="7" spans="1:17" ht="6" customHeight="1">
      <c r="A7" s="15"/>
      <c r="B7" s="15"/>
      <c r="C7" s="15"/>
      <c r="D7" s="15"/>
      <c r="E7" s="15"/>
      <c r="F7" s="15"/>
      <c r="G7" s="15"/>
      <c r="H7" s="9"/>
      <c r="I7" s="9"/>
      <c r="J7" s="8"/>
      <c r="K7" s="8"/>
      <c r="L7" s="8"/>
      <c r="M7" s="8"/>
      <c r="N7" s="8"/>
    </row>
    <row r="8" spans="1:17" ht="26.25" customHeight="1">
      <c r="A8" s="16"/>
      <c r="B8" s="277"/>
      <c r="C8" s="277" t="s">
        <v>3</v>
      </c>
      <c r="D8" s="17"/>
      <c r="E8" s="274" t="s">
        <v>4</v>
      </c>
      <c r="F8" s="322"/>
      <c r="G8" s="323"/>
      <c r="H8" s="9"/>
      <c r="I8" s="9"/>
      <c r="K8" s="9"/>
      <c r="L8" s="18"/>
      <c r="M8" s="18"/>
      <c r="N8" s="8"/>
    </row>
    <row r="9" spans="1:17" ht="6" customHeight="1">
      <c r="A9" s="277"/>
      <c r="B9" s="277"/>
      <c r="C9" s="277"/>
      <c r="D9" s="277"/>
      <c r="E9" s="277"/>
      <c r="F9" s="277"/>
      <c r="G9" s="277"/>
      <c r="H9" s="9"/>
      <c r="I9" s="9"/>
      <c r="J9" s="9"/>
      <c r="K9" s="9"/>
      <c r="L9" s="9"/>
      <c r="M9" s="9"/>
      <c r="N9" s="8"/>
    </row>
    <row r="10" spans="1:17" ht="15" customHeight="1">
      <c r="A10" s="277" t="s">
        <v>5</v>
      </c>
      <c r="B10" s="6"/>
      <c r="C10" s="311" t="s">
        <v>6</v>
      </c>
      <c r="D10" s="324"/>
      <c r="E10" s="324"/>
      <c r="F10" s="324"/>
      <c r="G10" s="325"/>
      <c r="H10" s="7"/>
      <c r="I10" s="7"/>
      <c r="J10" s="7"/>
      <c r="K10" s="7"/>
      <c r="L10" s="7"/>
      <c r="M10" s="7"/>
      <c r="N10" s="8"/>
    </row>
    <row r="11" spans="1:17">
      <c r="A11" s="19"/>
      <c r="B11" s="19"/>
      <c r="C11" s="19"/>
      <c r="D11" s="19"/>
      <c r="E11" s="19"/>
      <c r="F11" s="19"/>
      <c r="G11" s="19"/>
      <c r="H11" s="8"/>
      <c r="I11" s="8"/>
      <c r="J11" s="8"/>
      <c r="K11" s="8"/>
      <c r="L11" s="8"/>
      <c r="M11" s="8"/>
      <c r="N11" s="8"/>
    </row>
    <row r="12" spans="1:17" ht="16.149999999999999" customHeight="1">
      <c r="A12" s="277"/>
      <c r="B12" s="6"/>
      <c r="C12" s="16"/>
      <c r="D12" s="6"/>
      <c r="E12" s="6"/>
      <c r="F12" s="6"/>
      <c r="G12" s="6"/>
      <c r="H12" s="7"/>
      <c r="I12" s="7"/>
      <c r="J12" s="7"/>
      <c r="K12" s="7"/>
      <c r="L12" s="7"/>
      <c r="M12" s="7"/>
      <c r="N12" s="8"/>
    </row>
    <row r="13" spans="1:17" ht="16.149999999999999" customHeight="1">
      <c r="A13" s="310" t="s">
        <v>7</v>
      </c>
      <c r="B13" s="310"/>
      <c r="C13" s="311" t="s">
        <v>8</v>
      </c>
      <c r="D13" s="312"/>
      <c r="E13" s="312"/>
      <c r="F13" s="312"/>
      <c r="G13" s="313"/>
      <c r="H13" s="7"/>
      <c r="I13" s="7"/>
      <c r="J13" s="7"/>
      <c r="K13" s="7"/>
      <c r="L13" s="7"/>
      <c r="M13" s="7"/>
      <c r="N13" s="8"/>
    </row>
    <row r="14" spans="1:17" ht="16.149999999999999" customHeight="1">
      <c r="A14" s="20"/>
      <c r="B14" s="20"/>
      <c r="C14" s="16"/>
      <c r="D14" s="6"/>
      <c r="E14" s="6"/>
      <c r="F14" s="6"/>
      <c r="G14" s="6"/>
      <c r="H14" s="7"/>
      <c r="I14" s="7"/>
      <c r="J14" s="7"/>
      <c r="K14" s="7"/>
      <c r="L14" s="7"/>
      <c r="M14" s="7"/>
      <c r="N14" s="8"/>
    </row>
    <row r="15" spans="1:17" ht="15" customHeight="1">
      <c r="A15" s="16"/>
      <c r="B15" s="6"/>
      <c r="C15" s="6"/>
      <c r="D15" s="277"/>
      <c r="E15" s="21" t="s">
        <v>9</v>
      </c>
      <c r="F15" s="21" t="s">
        <v>10</v>
      </c>
      <c r="G15" s="16"/>
      <c r="H15" s="9"/>
      <c r="I15" s="22"/>
      <c r="J15" s="9"/>
      <c r="K15" s="9"/>
      <c r="L15" s="9"/>
      <c r="M15" s="13"/>
      <c r="N15" s="8"/>
    </row>
    <row r="16" spans="1:17" ht="15" customHeight="1">
      <c r="A16" s="277" t="s">
        <v>11</v>
      </c>
      <c r="B16" s="6"/>
      <c r="C16" s="6"/>
      <c r="D16" s="6"/>
      <c r="E16" s="263">
        <v>45292</v>
      </c>
      <c r="F16" s="23">
        <v>45657</v>
      </c>
      <c r="G16" s="16"/>
      <c r="H16" s="7"/>
      <c r="I16" s="7"/>
      <c r="J16" s="7"/>
      <c r="K16" s="7"/>
      <c r="L16" s="7"/>
      <c r="M16" s="7"/>
      <c r="N16" s="8"/>
    </row>
    <row r="17" spans="1:14" ht="15" customHeight="1">
      <c r="A17" s="277" t="s">
        <v>12</v>
      </c>
      <c r="B17" s="16"/>
      <c r="C17" s="16"/>
      <c r="D17" s="16"/>
      <c r="E17" s="263">
        <v>45870</v>
      </c>
      <c r="F17" s="23">
        <v>46142</v>
      </c>
      <c r="G17" s="16"/>
      <c r="H17" s="9"/>
      <c r="J17" s="24"/>
      <c r="K17" s="8"/>
      <c r="L17" s="25"/>
      <c r="M17" s="7"/>
      <c r="N17" s="8"/>
    </row>
    <row r="18" spans="1:14" ht="16.149999999999999" customHeight="1">
      <c r="A18" s="277"/>
      <c r="B18" s="277"/>
      <c r="C18" s="277"/>
      <c r="D18" s="26"/>
      <c r="E18" s="26"/>
      <c r="F18" s="26"/>
      <c r="G18" s="277"/>
      <c r="H18" s="9"/>
      <c r="I18" s="9"/>
      <c r="J18" s="9"/>
      <c r="K18" s="9"/>
      <c r="L18" s="8"/>
      <c r="M18" s="8"/>
      <c r="N18" s="8"/>
    </row>
    <row r="19" spans="1:14" ht="15" customHeight="1">
      <c r="A19" s="16"/>
      <c r="B19" s="16"/>
      <c r="C19" s="27" t="s">
        <v>13</v>
      </c>
      <c r="D19" s="27" t="s">
        <v>14</v>
      </c>
      <c r="E19" s="27" t="s">
        <v>15</v>
      </c>
      <c r="F19" s="277"/>
      <c r="G19" s="16"/>
      <c r="H19" s="9"/>
      <c r="I19" s="9"/>
      <c r="K19" s="9"/>
      <c r="L19" s="9"/>
      <c r="M19" s="9"/>
      <c r="N19" s="8"/>
    </row>
    <row r="20" spans="1:14" ht="15" customHeight="1">
      <c r="A20" s="277" t="s">
        <v>16</v>
      </c>
      <c r="B20" s="277"/>
      <c r="C20" s="264">
        <v>6.089E-2</v>
      </c>
      <c r="D20" s="265">
        <v>3.98</v>
      </c>
      <c r="E20" s="265">
        <v>6.93</v>
      </c>
      <c r="F20" s="28"/>
      <c r="G20" s="16"/>
      <c r="H20" s="29"/>
      <c r="I20" s="29"/>
      <c r="K20" s="9"/>
      <c r="L20" s="9"/>
      <c r="M20" s="9"/>
      <c r="N20" s="8"/>
    </row>
    <row r="21" spans="1:14" ht="15" customHeight="1">
      <c r="A21" s="277" t="s">
        <v>17</v>
      </c>
      <c r="B21" s="277"/>
      <c r="C21" s="264">
        <v>6.3990000000000005E-2</v>
      </c>
      <c r="D21" s="265">
        <v>5.89</v>
      </c>
      <c r="E21" s="265">
        <v>7.34</v>
      </c>
      <c r="F21" s="28"/>
      <c r="G21" s="16"/>
      <c r="H21" s="30"/>
      <c r="I21" s="29"/>
      <c r="K21" s="9"/>
      <c r="L21" s="9"/>
      <c r="M21" s="9"/>
      <c r="N21" s="8"/>
    </row>
    <row r="22" spans="1:14" ht="15" customHeight="1">
      <c r="A22" s="31" t="s">
        <v>18</v>
      </c>
      <c r="B22" s="32"/>
      <c r="C22" s="16"/>
      <c r="D22" s="31" t="s">
        <v>19</v>
      </c>
      <c r="E22" s="16"/>
      <c r="F22" s="16"/>
      <c r="G22" s="6"/>
      <c r="H22" s="7"/>
      <c r="I22" s="7"/>
      <c r="J22" s="7"/>
      <c r="K22" s="9"/>
      <c r="L22" s="33"/>
      <c r="M22" s="9"/>
      <c r="N22" s="8"/>
    </row>
    <row r="23" spans="1:14" ht="6" customHeight="1">
      <c r="A23" s="5"/>
      <c r="B23" s="5"/>
      <c r="C23" s="5"/>
      <c r="D23" s="5"/>
      <c r="E23" s="5"/>
      <c r="F23" s="5"/>
      <c r="G23" s="277"/>
      <c r="H23" s="9"/>
      <c r="I23" s="9"/>
      <c r="J23" s="8"/>
      <c r="K23" s="7"/>
      <c r="L23" s="7"/>
      <c r="M23" s="8"/>
      <c r="N23" s="8"/>
    </row>
    <row r="24" spans="1:14" ht="15" customHeight="1">
      <c r="A24" s="1" t="s">
        <v>20</v>
      </c>
      <c r="B24" s="2"/>
      <c r="C24" s="2"/>
      <c r="D24" s="2"/>
      <c r="E24" s="2"/>
      <c r="F24" s="34" t="s">
        <v>3</v>
      </c>
      <c r="G24" s="35">
        <f>D8</f>
        <v>0</v>
      </c>
      <c r="H24" s="3"/>
      <c r="I24" s="3"/>
      <c r="J24" s="3"/>
      <c r="K24" s="3"/>
      <c r="L24" s="3"/>
      <c r="M24" s="3"/>
    </row>
    <row r="25" spans="1:14" ht="15" customHeight="1">
      <c r="A25" s="277" t="s">
        <v>21</v>
      </c>
      <c r="B25" s="6"/>
      <c r="C25" s="6"/>
      <c r="D25" s="36"/>
      <c r="E25" s="36"/>
      <c r="F25" s="36"/>
      <c r="G25" s="37"/>
      <c r="H25" s="38"/>
      <c r="I25" s="38"/>
      <c r="J25" s="38"/>
      <c r="K25" s="7"/>
      <c r="L25" s="7"/>
      <c r="M25" s="7"/>
      <c r="N25" s="8"/>
    </row>
    <row r="26" spans="1:14" ht="15" customHeight="1">
      <c r="A26" s="39" t="s">
        <v>22</v>
      </c>
      <c r="B26" s="40"/>
      <c r="C26" s="40"/>
      <c r="D26" s="36"/>
      <c r="E26" s="36"/>
      <c r="F26" s="36"/>
      <c r="G26" s="37"/>
      <c r="H26" s="38"/>
      <c r="I26" s="38"/>
      <c r="J26" s="38"/>
      <c r="K26" s="7"/>
      <c r="L26" s="7"/>
      <c r="M26" s="7"/>
      <c r="N26" s="8"/>
    </row>
    <row r="27" spans="1:14" ht="15" customHeight="1">
      <c r="A27" s="39" t="s">
        <v>23</v>
      </c>
      <c r="B27" s="40"/>
      <c r="C27" s="40"/>
      <c r="D27" s="41"/>
      <c r="E27" s="41"/>
      <c r="F27" s="41"/>
      <c r="G27" s="42"/>
      <c r="H27" s="43"/>
      <c r="I27" s="43"/>
      <c r="J27" s="43"/>
      <c r="K27" s="9"/>
      <c r="L27" s="9"/>
      <c r="M27" s="9"/>
      <c r="N27" s="9"/>
    </row>
    <row r="28" spans="1:14" ht="6" customHeight="1">
      <c r="A28" s="40"/>
      <c r="B28" s="40"/>
      <c r="C28" s="40"/>
      <c r="D28" s="41"/>
      <c r="E28" s="41"/>
      <c r="F28" s="41"/>
      <c r="G28" s="42"/>
      <c r="H28" s="43"/>
      <c r="I28" s="43"/>
      <c r="J28" s="43"/>
      <c r="K28" s="9"/>
      <c r="L28" s="9"/>
      <c r="M28" s="9"/>
      <c r="N28" s="9"/>
    </row>
    <row r="29" spans="1:14" s="46" customFormat="1" ht="12.75" customHeight="1">
      <c r="A29" s="302" t="s">
        <v>24</v>
      </c>
      <c r="B29" s="302"/>
      <c r="C29" s="302"/>
      <c r="D29" s="302"/>
      <c r="E29" s="302"/>
      <c r="F29" s="302"/>
      <c r="G29" s="44"/>
      <c r="H29" s="45"/>
      <c r="I29" s="45"/>
      <c r="J29" s="45"/>
      <c r="K29" s="45"/>
      <c r="L29" s="45"/>
      <c r="M29" s="45"/>
    </row>
    <row r="30" spans="1:14" s="46" customFormat="1" ht="12.75" customHeight="1">
      <c r="A30" s="303">
        <v>1</v>
      </c>
      <c r="B30" s="303"/>
      <c r="C30" s="272">
        <v>2</v>
      </c>
      <c r="D30" s="272">
        <v>3</v>
      </c>
      <c r="E30" s="272">
        <v>4</v>
      </c>
      <c r="F30" s="272">
        <v>5</v>
      </c>
      <c r="G30" s="272" t="s">
        <v>25</v>
      </c>
      <c r="H30" s="45"/>
      <c r="I30" s="45"/>
      <c r="J30" s="45"/>
      <c r="K30" s="45"/>
    </row>
    <row r="31" spans="1:14" s="46" customFormat="1" ht="12.75" customHeight="1">
      <c r="A31" s="304"/>
      <c r="B31" s="305"/>
      <c r="C31" s="47"/>
      <c r="D31" s="47"/>
      <c r="E31" s="47"/>
      <c r="F31" s="266"/>
      <c r="G31" s="48">
        <f>SUM(A31:F31)</f>
        <v>0</v>
      </c>
      <c r="H31" s="49"/>
      <c r="I31" s="49"/>
      <c r="J31" s="49"/>
      <c r="K31" s="50"/>
      <c r="M31" s="51"/>
    </row>
    <row r="32" spans="1:14" ht="6" customHeight="1">
      <c r="A32" s="5"/>
      <c r="B32" s="5"/>
      <c r="C32" s="5"/>
      <c r="D32" s="5"/>
      <c r="E32" s="5"/>
      <c r="F32" s="5"/>
      <c r="G32" s="5"/>
      <c r="H32" s="19"/>
      <c r="I32" s="8"/>
      <c r="J32" s="8"/>
      <c r="K32" s="8"/>
      <c r="L32" s="8"/>
      <c r="M32" s="9"/>
      <c r="N32" s="8"/>
    </row>
    <row r="33" spans="1:14" ht="15" customHeight="1">
      <c r="A33" s="6" t="s">
        <v>26</v>
      </c>
      <c r="B33" s="6"/>
      <c r="C33" s="6"/>
      <c r="D33" s="277"/>
      <c r="E33" s="16"/>
      <c r="F33" s="277" t="s">
        <v>27</v>
      </c>
      <c r="G33" s="6"/>
      <c r="H33" s="7"/>
      <c r="I33" s="7"/>
      <c r="J33" s="7"/>
      <c r="L33" s="9"/>
      <c r="N33" s="8"/>
    </row>
    <row r="34" spans="1:14" ht="15" customHeight="1">
      <c r="A34" s="275" t="s">
        <v>28</v>
      </c>
      <c r="B34" s="276" t="s">
        <v>29</v>
      </c>
      <c r="C34" s="52"/>
      <c r="D34" s="53"/>
      <c r="E34" s="53"/>
      <c r="F34" s="54" t="s">
        <v>30</v>
      </c>
      <c r="G34" s="55"/>
      <c r="H34" s="56"/>
      <c r="I34" s="56"/>
      <c r="J34" s="56"/>
      <c r="L34" s="9"/>
      <c r="N34" s="8"/>
    </row>
    <row r="35" spans="1:14" s="46" customFormat="1" ht="12.75" customHeight="1">
      <c r="A35" s="57" t="s">
        <v>31</v>
      </c>
      <c r="B35" s="273" t="s">
        <v>32</v>
      </c>
      <c r="C35" s="273"/>
      <c r="D35" s="58"/>
      <c r="E35" s="58"/>
      <c r="F35" s="59">
        <v>100</v>
      </c>
      <c r="G35" s="31"/>
      <c r="H35" s="49"/>
      <c r="I35" s="60"/>
      <c r="J35" s="49"/>
      <c r="K35" s="61"/>
      <c r="L35" s="49"/>
      <c r="M35" s="61"/>
    </row>
    <row r="36" spans="1:14" s="46" customFormat="1" ht="12.75" customHeight="1">
      <c r="A36" s="57" t="s">
        <v>33</v>
      </c>
      <c r="B36" s="273" t="s">
        <v>34</v>
      </c>
      <c r="C36" s="273"/>
      <c r="D36" s="58"/>
      <c r="E36" s="58"/>
      <c r="F36" s="59">
        <v>100</v>
      </c>
      <c r="G36" s="31"/>
      <c r="H36" s="49"/>
      <c r="I36" s="60"/>
      <c r="J36" s="49"/>
      <c r="K36" s="61"/>
      <c r="L36" s="61"/>
      <c r="M36" s="61"/>
    </row>
    <row r="37" spans="1:14" s="46" customFormat="1" ht="12.75" customHeight="1">
      <c r="A37" s="57" t="s">
        <v>35</v>
      </c>
      <c r="B37" s="273" t="s">
        <v>36</v>
      </c>
      <c r="C37" s="273"/>
      <c r="D37" s="58"/>
      <c r="E37" s="58"/>
      <c r="F37" s="59"/>
      <c r="G37" s="31"/>
      <c r="H37" s="49"/>
      <c r="I37" s="60"/>
      <c r="J37" s="49"/>
      <c r="K37" s="61"/>
      <c r="L37" s="49"/>
      <c r="M37" s="61"/>
    </row>
    <row r="38" spans="1:14" s="46" customFormat="1" ht="12.75" customHeight="1">
      <c r="A38" s="57" t="s">
        <v>37</v>
      </c>
      <c r="B38" s="273" t="s">
        <v>38</v>
      </c>
      <c r="C38" s="273"/>
      <c r="D38" s="58"/>
      <c r="E38" s="58"/>
      <c r="F38" s="59"/>
      <c r="G38" s="31"/>
      <c r="H38" s="49"/>
      <c r="I38" s="60"/>
      <c r="J38" s="49"/>
      <c r="K38" s="61"/>
      <c r="L38" s="49"/>
      <c r="M38" s="61"/>
    </row>
    <row r="39" spans="1:14" s="46" customFormat="1" ht="12.75" customHeight="1">
      <c r="A39" s="57" t="s">
        <v>39</v>
      </c>
      <c r="B39" s="273" t="s">
        <v>40</v>
      </c>
      <c r="C39" s="273"/>
      <c r="D39" s="58"/>
      <c r="E39" s="58"/>
      <c r="F39" s="59"/>
      <c r="G39" s="31"/>
      <c r="H39" s="49"/>
      <c r="I39" s="60"/>
      <c r="J39" s="49"/>
      <c r="K39" s="61"/>
      <c r="L39" s="49"/>
      <c r="M39" s="61"/>
    </row>
    <row r="40" spans="1:14" s="46" customFormat="1" ht="12.75" customHeight="1">
      <c r="A40" s="57" t="s">
        <v>41</v>
      </c>
      <c r="B40" s="273" t="s">
        <v>42</v>
      </c>
      <c r="C40" s="273"/>
      <c r="D40" s="58"/>
      <c r="E40" s="58"/>
      <c r="F40" s="59"/>
      <c r="G40" s="31"/>
      <c r="H40" s="49"/>
      <c r="I40" s="60"/>
      <c r="J40" s="49"/>
      <c r="K40" s="61"/>
      <c r="L40" s="49"/>
      <c r="M40" s="61"/>
    </row>
    <row r="41" spans="1:14" s="46" customFormat="1" ht="12.75" customHeight="1">
      <c r="A41" s="57" t="s">
        <v>43</v>
      </c>
      <c r="B41" s="273" t="s">
        <v>44</v>
      </c>
      <c r="C41" s="273"/>
      <c r="D41" s="58"/>
      <c r="E41" s="58"/>
      <c r="F41" s="59"/>
      <c r="G41" s="31"/>
      <c r="H41" s="49"/>
      <c r="I41" s="60"/>
      <c r="J41" s="49"/>
      <c r="K41" s="62"/>
      <c r="L41" s="49"/>
      <c r="M41" s="61"/>
    </row>
    <row r="42" spans="1:14" s="46" customFormat="1" ht="12.75" customHeight="1">
      <c r="A42" s="57" t="s">
        <v>45</v>
      </c>
      <c r="B42" s="273" t="s">
        <v>46</v>
      </c>
      <c r="C42" s="273"/>
      <c r="D42" s="58"/>
      <c r="E42" s="58"/>
      <c r="F42" s="59"/>
      <c r="G42" s="31"/>
      <c r="H42" s="49"/>
      <c r="I42" s="60"/>
      <c r="J42" s="49"/>
      <c r="K42" s="61"/>
      <c r="L42" s="49"/>
      <c r="M42" s="61"/>
    </row>
    <row r="43" spans="1:14" s="46" customFormat="1" ht="12.75" customHeight="1">
      <c r="A43" s="57" t="s">
        <v>47</v>
      </c>
      <c r="B43" s="273" t="s">
        <v>48</v>
      </c>
      <c r="C43" s="273"/>
      <c r="D43" s="58"/>
      <c r="E43" s="58"/>
      <c r="F43" s="59"/>
      <c r="G43" s="31"/>
      <c r="H43" s="49"/>
      <c r="I43" s="60"/>
      <c r="J43" s="49"/>
      <c r="K43" s="61"/>
      <c r="L43" s="49"/>
      <c r="M43" s="61"/>
    </row>
    <row r="44" spans="1:14" s="46" customFormat="1" ht="12.75" customHeight="1">
      <c r="A44" s="57" t="s">
        <v>49</v>
      </c>
      <c r="B44" s="273" t="s">
        <v>50</v>
      </c>
      <c r="C44" s="273"/>
      <c r="D44" s="58"/>
      <c r="E44" s="58"/>
      <c r="F44" s="59"/>
      <c r="G44" s="31"/>
      <c r="H44" s="49"/>
      <c r="I44" s="60"/>
      <c r="J44" s="49"/>
      <c r="K44" s="61"/>
      <c r="L44" s="49"/>
      <c r="M44" s="61"/>
    </row>
    <row r="45" spans="1:14" s="46" customFormat="1" ht="12.75" customHeight="1">
      <c r="A45" s="57" t="s">
        <v>51</v>
      </c>
      <c r="B45" s="273" t="s">
        <v>52</v>
      </c>
      <c r="C45" s="273"/>
      <c r="D45" s="58"/>
      <c r="E45" s="58"/>
      <c r="F45" s="59"/>
      <c r="G45" s="31"/>
      <c r="H45" s="49"/>
      <c r="I45" s="60"/>
      <c r="J45" s="49"/>
      <c r="K45" s="61"/>
      <c r="L45" s="49"/>
      <c r="M45" s="61"/>
    </row>
    <row r="46" spans="1:14" s="46" customFormat="1" ht="12.75" customHeight="1">
      <c r="A46" s="57" t="s">
        <v>53</v>
      </c>
      <c r="B46" s="273" t="s">
        <v>54</v>
      </c>
      <c r="C46" s="273"/>
      <c r="D46" s="58"/>
      <c r="E46" s="58"/>
      <c r="F46" s="59"/>
      <c r="G46" s="31"/>
      <c r="H46" s="49"/>
      <c r="I46" s="60"/>
      <c r="J46" s="49"/>
      <c r="K46" s="61"/>
      <c r="L46" s="49"/>
      <c r="M46" s="61"/>
    </row>
    <row r="47" spans="1:14" s="46" customFormat="1" ht="12.75" customHeight="1">
      <c r="A47" s="57" t="s">
        <v>55</v>
      </c>
      <c r="B47" s="273" t="s">
        <v>56</v>
      </c>
      <c r="C47" s="273"/>
      <c r="D47" s="58"/>
      <c r="E47" s="58"/>
      <c r="F47" s="59"/>
      <c r="G47" s="31"/>
      <c r="H47" s="49"/>
      <c r="I47" s="60"/>
      <c r="J47" s="49"/>
      <c r="K47" s="61"/>
      <c r="L47" s="49"/>
      <c r="M47" s="61"/>
    </row>
    <row r="48" spans="1:14" s="46" customFormat="1" ht="12.75" customHeight="1">
      <c r="A48" s="57" t="s">
        <v>57</v>
      </c>
      <c r="B48" s="273" t="s">
        <v>58</v>
      </c>
      <c r="C48" s="273"/>
      <c r="D48" s="58"/>
      <c r="E48" s="58"/>
      <c r="F48" s="59"/>
      <c r="G48" s="31"/>
      <c r="H48" s="49"/>
      <c r="I48" s="60"/>
      <c r="J48" s="49"/>
      <c r="K48" s="61"/>
      <c r="L48" s="49"/>
      <c r="M48" s="61"/>
    </row>
    <row r="49" spans="1:13" s="46" customFormat="1" ht="12.75" customHeight="1">
      <c r="A49" s="57" t="s">
        <v>59</v>
      </c>
      <c r="B49" s="273" t="s">
        <v>60</v>
      </c>
      <c r="C49" s="273"/>
      <c r="D49" s="58"/>
      <c r="E49" s="58"/>
      <c r="F49" s="59"/>
      <c r="G49" s="31"/>
      <c r="H49" s="49"/>
      <c r="I49" s="60"/>
      <c r="J49" s="49"/>
      <c r="K49" s="61"/>
      <c r="L49" s="49"/>
      <c r="M49" s="61"/>
    </row>
    <row r="50" spans="1:13" s="46" customFormat="1" ht="12.75" customHeight="1">
      <c r="A50" s="57" t="s">
        <v>61</v>
      </c>
      <c r="B50" s="273" t="s">
        <v>62</v>
      </c>
      <c r="C50" s="273"/>
      <c r="D50" s="58"/>
      <c r="E50" s="58"/>
      <c r="F50" s="59"/>
      <c r="G50" s="31"/>
      <c r="H50" s="49"/>
      <c r="I50" s="60"/>
      <c r="J50" s="49"/>
      <c r="K50" s="61"/>
      <c r="L50" s="49"/>
      <c r="M50" s="61"/>
    </row>
    <row r="51" spans="1:13" s="46" customFormat="1" ht="12.75" customHeight="1">
      <c r="A51" s="57" t="s">
        <v>63</v>
      </c>
      <c r="B51" s="273" t="s">
        <v>64</v>
      </c>
      <c r="C51" s="273"/>
      <c r="D51" s="58"/>
      <c r="E51" s="58"/>
      <c r="F51" s="59"/>
      <c r="G51" s="31"/>
      <c r="H51" s="49"/>
      <c r="I51" s="60"/>
      <c r="J51" s="49"/>
      <c r="K51" s="61"/>
      <c r="L51" s="49"/>
      <c r="M51" s="61"/>
    </row>
    <row r="52" spans="1:13" s="46" customFormat="1" ht="12.75" customHeight="1">
      <c r="A52" s="57" t="s">
        <v>65</v>
      </c>
      <c r="B52" s="273" t="s">
        <v>66</v>
      </c>
      <c r="C52" s="273"/>
      <c r="D52" s="58"/>
      <c r="E52" s="58"/>
      <c r="F52" s="59"/>
      <c r="G52" s="31"/>
      <c r="H52" s="49"/>
      <c r="I52" s="60"/>
      <c r="J52" s="49"/>
      <c r="K52" s="61"/>
      <c r="L52" s="49"/>
      <c r="M52" s="61"/>
    </row>
    <row r="53" spans="1:13" s="46" customFormat="1" ht="12.75" customHeight="1">
      <c r="A53" s="57" t="s">
        <v>67</v>
      </c>
      <c r="B53" s="273" t="s">
        <v>68</v>
      </c>
      <c r="C53" s="273"/>
      <c r="D53" s="58"/>
      <c r="E53" s="58"/>
      <c r="F53" s="59"/>
      <c r="G53" s="31"/>
      <c r="H53" s="49"/>
      <c r="I53" s="60"/>
      <c r="J53" s="49"/>
      <c r="K53" s="61"/>
      <c r="L53" s="49"/>
      <c r="M53" s="61"/>
    </row>
    <row r="54" spans="1:13" s="46" customFormat="1" ht="12.75" customHeight="1">
      <c r="A54" s="57" t="s">
        <v>69</v>
      </c>
      <c r="B54" s="273" t="s">
        <v>70</v>
      </c>
      <c r="C54" s="273"/>
      <c r="D54" s="58"/>
      <c r="E54" s="58"/>
      <c r="F54" s="59"/>
      <c r="G54" s="31"/>
      <c r="H54" s="49"/>
      <c r="I54" s="60"/>
      <c r="J54" s="49"/>
      <c r="K54" s="61"/>
      <c r="L54" s="49"/>
      <c r="M54" s="61"/>
    </row>
    <row r="55" spans="1:13" s="46" customFormat="1" ht="12.75" customHeight="1">
      <c r="A55" s="57" t="s">
        <v>71</v>
      </c>
      <c r="B55" s="273" t="s">
        <v>72</v>
      </c>
      <c r="C55" s="273"/>
      <c r="D55" s="58"/>
      <c r="E55" s="58"/>
      <c r="F55" s="59"/>
      <c r="G55" s="31"/>
      <c r="H55" s="49"/>
      <c r="I55" s="60"/>
      <c r="J55" s="49"/>
      <c r="K55" s="61"/>
      <c r="L55" s="49"/>
      <c r="M55" s="61"/>
    </row>
    <row r="56" spans="1:13" s="46" customFormat="1" ht="12.75" customHeight="1">
      <c r="A56" s="57" t="s">
        <v>73</v>
      </c>
      <c r="B56" s="273" t="s">
        <v>74</v>
      </c>
      <c r="C56" s="273"/>
      <c r="D56" s="58"/>
      <c r="E56" s="58"/>
      <c r="F56" s="59"/>
      <c r="G56" s="31"/>
      <c r="H56" s="49"/>
      <c r="I56" s="60"/>
      <c r="J56" s="49"/>
      <c r="K56" s="61"/>
      <c r="L56" s="49"/>
      <c r="M56" s="61"/>
    </row>
    <row r="57" spans="1:13" s="46" customFormat="1" ht="12.75" customHeight="1">
      <c r="A57" s="57" t="s">
        <v>75</v>
      </c>
      <c r="B57" s="273" t="s">
        <v>76</v>
      </c>
      <c r="C57" s="273"/>
      <c r="D57" s="58"/>
      <c r="E57" s="58"/>
      <c r="F57" s="59"/>
      <c r="G57" s="31"/>
      <c r="H57" s="49"/>
      <c r="I57" s="60"/>
      <c r="J57" s="49"/>
      <c r="K57" s="61"/>
      <c r="L57" s="49"/>
      <c r="M57" s="61"/>
    </row>
    <row r="58" spans="1:13" s="46" customFormat="1" ht="12.75" customHeight="1">
      <c r="A58" s="57" t="s">
        <v>77</v>
      </c>
      <c r="B58" s="273" t="s">
        <v>78</v>
      </c>
      <c r="C58" s="273"/>
      <c r="D58" s="58"/>
      <c r="E58" s="58"/>
      <c r="F58" s="59"/>
      <c r="G58" s="31"/>
      <c r="H58" s="49"/>
      <c r="I58" s="60"/>
      <c r="J58" s="49"/>
      <c r="K58" s="61"/>
      <c r="L58" s="49"/>
      <c r="M58" s="61"/>
    </row>
    <row r="59" spans="1:13" s="46" customFormat="1" ht="12.75" customHeight="1">
      <c r="A59" s="57" t="s">
        <v>79</v>
      </c>
      <c r="B59" s="273" t="s">
        <v>80</v>
      </c>
      <c r="C59" s="273"/>
      <c r="D59" s="58"/>
      <c r="E59" s="58"/>
      <c r="F59" s="59"/>
      <c r="G59" s="31"/>
      <c r="H59" s="49"/>
      <c r="I59" s="60"/>
      <c r="J59" s="49"/>
      <c r="K59" s="61"/>
      <c r="L59" s="49"/>
      <c r="M59" s="61"/>
    </row>
    <row r="60" spans="1:13" s="46" customFormat="1" ht="12.75" customHeight="1">
      <c r="A60" s="57" t="s">
        <v>81</v>
      </c>
      <c r="B60" s="273" t="s">
        <v>82</v>
      </c>
      <c r="C60" s="273"/>
      <c r="D60" s="58"/>
      <c r="E60" s="58"/>
      <c r="F60" s="59"/>
      <c r="G60" s="31"/>
      <c r="H60" s="49"/>
      <c r="I60" s="60"/>
      <c r="J60" s="49"/>
      <c r="K60" s="61"/>
      <c r="L60" s="49"/>
      <c r="M60" s="61"/>
    </row>
    <row r="61" spans="1:13" s="46" customFormat="1" ht="12.75" customHeight="1">
      <c r="A61" s="57" t="s">
        <v>83</v>
      </c>
      <c r="B61" s="273" t="s">
        <v>84</v>
      </c>
      <c r="C61" s="273"/>
      <c r="D61" s="58"/>
      <c r="E61" s="58"/>
      <c r="F61" s="59"/>
      <c r="G61" s="31"/>
      <c r="H61" s="49"/>
      <c r="I61" s="60"/>
      <c r="J61" s="49"/>
      <c r="K61" s="61"/>
      <c r="L61" s="49"/>
      <c r="M61" s="61"/>
    </row>
    <row r="62" spans="1:13" s="46" customFormat="1" ht="12.75" customHeight="1">
      <c r="A62" s="57" t="s">
        <v>85</v>
      </c>
      <c r="B62" s="273" t="s">
        <v>86</v>
      </c>
      <c r="C62" s="273"/>
      <c r="D62" s="58"/>
      <c r="E62" s="58"/>
      <c r="F62" s="59"/>
      <c r="G62" s="31"/>
      <c r="H62" s="49"/>
      <c r="I62" s="60"/>
      <c r="J62" s="49"/>
      <c r="K62" s="61"/>
      <c r="L62" s="49"/>
      <c r="M62" s="61"/>
    </row>
    <row r="63" spans="1:13" s="46" customFormat="1" ht="12.75" customHeight="1">
      <c r="A63" s="57" t="s">
        <v>87</v>
      </c>
      <c r="B63" s="273" t="s">
        <v>88</v>
      </c>
      <c r="C63" s="273"/>
      <c r="D63" s="58"/>
      <c r="E63" s="58"/>
      <c r="F63" s="59"/>
      <c r="G63" s="31"/>
      <c r="H63" s="49"/>
      <c r="I63" s="60"/>
      <c r="J63" s="49"/>
      <c r="K63" s="61"/>
      <c r="L63" s="49"/>
      <c r="M63" s="61"/>
    </row>
    <row r="64" spans="1:13" s="46" customFormat="1" ht="12.75" customHeight="1">
      <c r="A64" s="57" t="s">
        <v>89</v>
      </c>
      <c r="B64" s="273" t="s">
        <v>90</v>
      </c>
      <c r="C64" s="273"/>
      <c r="D64" s="58"/>
      <c r="E64" s="58"/>
      <c r="F64" s="59"/>
      <c r="G64" s="31"/>
      <c r="H64" s="49"/>
      <c r="I64" s="60"/>
      <c r="J64" s="49"/>
      <c r="K64" s="61"/>
      <c r="L64" s="49"/>
      <c r="M64" s="61"/>
    </row>
    <row r="65" spans="1:14" s="46" customFormat="1" ht="12.75" customHeight="1">
      <c r="A65" s="57" t="s">
        <v>91</v>
      </c>
      <c r="B65" s="273" t="s">
        <v>92</v>
      </c>
      <c r="C65" s="273"/>
      <c r="D65" s="58"/>
      <c r="E65" s="58"/>
      <c r="F65" s="59"/>
      <c r="G65" s="31"/>
      <c r="H65" s="49"/>
      <c r="I65" s="60"/>
      <c r="J65" s="49"/>
      <c r="K65" s="61"/>
      <c r="L65" s="49"/>
      <c r="M65" s="61"/>
    </row>
    <row r="66" spans="1:14" s="46" customFormat="1" ht="12.75" customHeight="1">
      <c r="A66" s="57" t="s">
        <v>93</v>
      </c>
      <c r="B66" s="273" t="s">
        <v>94</v>
      </c>
      <c r="C66" s="273"/>
      <c r="D66" s="58"/>
      <c r="E66" s="58"/>
      <c r="F66" s="59"/>
      <c r="G66" s="31"/>
      <c r="H66" s="49"/>
      <c r="I66" s="60"/>
      <c r="J66" s="49"/>
      <c r="K66" s="61"/>
      <c r="L66" s="49"/>
      <c r="M66" s="61"/>
    </row>
    <row r="67" spans="1:14" s="46" customFormat="1" ht="12.75" customHeight="1">
      <c r="A67" s="57" t="s">
        <v>95</v>
      </c>
      <c r="B67" s="273" t="s">
        <v>96</v>
      </c>
      <c r="C67" s="273"/>
      <c r="D67" s="58"/>
      <c r="E67" s="58"/>
      <c r="F67" s="267"/>
      <c r="G67" s="31"/>
      <c r="H67" s="49"/>
      <c r="I67" s="60"/>
      <c r="J67" s="49"/>
      <c r="K67" s="61"/>
      <c r="L67" s="49"/>
      <c r="M67" s="61"/>
    </row>
    <row r="68" spans="1:14" s="46" customFormat="1" ht="12.75" customHeight="1">
      <c r="A68" s="57" t="s">
        <v>97</v>
      </c>
      <c r="B68" s="273" t="s">
        <v>98</v>
      </c>
      <c r="C68" s="273"/>
      <c r="D68" s="58"/>
      <c r="E68" s="58"/>
      <c r="F68" s="59"/>
      <c r="G68" s="31"/>
      <c r="H68" s="49"/>
      <c r="I68" s="60"/>
      <c r="J68" s="49"/>
      <c r="K68" s="61"/>
      <c r="L68" s="49"/>
      <c r="M68" s="61"/>
    </row>
    <row r="69" spans="1:14" s="46" customFormat="1" ht="12.75" customHeight="1">
      <c r="A69" s="57" t="s">
        <v>99</v>
      </c>
      <c r="B69" s="306" t="s">
        <v>100</v>
      </c>
      <c r="C69" s="306"/>
      <c r="D69" s="306"/>
      <c r="E69" s="306"/>
      <c r="F69" s="59"/>
      <c r="G69" s="31"/>
      <c r="H69" s="49"/>
      <c r="I69" s="60"/>
      <c r="J69" s="49"/>
      <c r="K69" s="61"/>
      <c r="L69" s="49"/>
      <c r="M69" s="61"/>
    </row>
    <row r="70" spans="1:14" s="46" customFormat="1" ht="12.75" customHeight="1">
      <c r="A70" s="63"/>
      <c r="B70" s="64"/>
      <c r="C70" s="64"/>
      <c r="D70" s="64"/>
      <c r="E70" s="31"/>
      <c r="F70" s="31"/>
      <c r="G70" s="31"/>
      <c r="H70" s="49"/>
      <c r="I70" s="60"/>
      <c r="J70" s="49"/>
      <c r="K70" s="61"/>
      <c r="L70" s="49"/>
      <c r="M70" s="61"/>
    </row>
    <row r="71" spans="1:14" ht="15" customHeight="1">
      <c r="A71" s="65" t="s">
        <v>101</v>
      </c>
      <c r="B71" s="277"/>
      <c r="C71" s="277"/>
      <c r="D71" s="16"/>
      <c r="E71" s="277"/>
      <c r="F71" s="277"/>
      <c r="G71" s="66"/>
      <c r="H71" s="66"/>
      <c r="I71" s="66"/>
      <c r="J71" s="66"/>
      <c r="K71" s="62"/>
      <c r="L71" s="9"/>
      <c r="M71" s="62"/>
      <c r="N71" s="8"/>
    </row>
    <row r="72" spans="1:14" ht="15" customHeight="1">
      <c r="A72" s="16"/>
      <c r="B72" s="277"/>
      <c r="C72" s="277"/>
      <c r="D72" s="277"/>
      <c r="E72" s="277"/>
      <c r="F72" s="277"/>
      <c r="G72" s="16"/>
      <c r="H72" s="18"/>
      <c r="I72" s="18"/>
      <c r="J72" s="18"/>
      <c r="K72" s="8"/>
      <c r="L72" s="8"/>
      <c r="M72" s="8"/>
      <c r="N72" s="8"/>
    </row>
    <row r="73" spans="1:14" ht="6" customHeight="1">
      <c r="A73" s="5"/>
      <c r="B73" s="5"/>
      <c r="C73" s="5"/>
      <c r="D73" s="5"/>
      <c r="E73" s="5"/>
      <c r="F73" s="5"/>
      <c r="G73" s="5"/>
      <c r="H73" s="19"/>
      <c r="I73" s="8"/>
      <c r="J73" s="8"/>
      <c r="K73" s="8"/>
      <c r="L73" s="8"/>
      <c r="M73" s="8"/>
      <c r="N73" s="8"/>
    </row>
    <row r="74" spans="1:14" ht="15" customHeight="1">
      <c r="A74" s="67" t="s">
        <v>102</v>
      </c>
      <c r="B74" s="67"/>
      <c r="C74" s="67"/>
      <c r="D74" s="67"/>
      <c r="E74" s="67"/>
      <c r="F74" s="34" t="s">
        <v>3</v>
      </c>
      <c r="G74" s="35">
        <f>G24</f>
        <v>0</v>
      </c>
      <c r="H74" s="68"/>
      <c r="I74" s="68"/>
      <c r="J74" s="68"/>
    </row>
    <row r="75" spans="1:14" ht="15" customHeight="1">
      <c r="A75" s="277" t="s">
        <v>103</v>
      </c>
      <c r="B75" s="277"/>
      <c r="C75" s="277"/>
      <c r="D75" s="277"/>
      <c r="E75" s="277"/>
      <c r="F75" s="277"/>
      <c r="G75" s="277"/>
      <c r="H75" s="9"/>
      <c r="I75" s="9"/>
      <c r="J75" s="9"/>
      <c r="K75" s="8"/>
    </row>
    <row r="76" spans="1:14" ht="15" customHeight="1">
      <c r="A76" s="277" t="s">
        <v>104</v>
      </c>
      <c r="B76" s="277"/>
      <c r="C76" s="277"/>
      <c r="D76" s="277"/>
      <c r="E76" s="277"/>
      <c r="F76" s="277"/>
      <c r="G76" s="277"/>
      <c r="H76" s="9"/>
      <c r="I76" s="9"/>
      <c r="J76" s="9"/>
      <c r="K76" s="8"/>
    </row>
    <row r="77" spans="1:14" ht="15" customHeight="1">
      <c r="A77" s="277" t="s">
        <v>105</v>
      </c>
      <c r="B77" s="277"/>
      <c r="C77" s="277"/>
      <c r="D77" s="277"/>
      <c r="E77" s="277"/>
      <c r="F77" s="277"/>
      <c r="G77" s="277"/>
      <c r="H77" s="9"/>
      <c r="I77" s="9"/>
      <c r="J77" s="9"/>
      <c r="K77" s="8"/>
    </row>
    <row r="78" spans="1:14" ht="6" customHeight="1">
      <c r="A78" s="277"/>
      <c r="B78" s="277"/>
      <c r="C78" s="277"/>
      <c r="D78" s="277"/>
      <c r="E78" s="277"/>
      <c r="F78" s="277"/>
      <c r="G78" s="277"/>
      <c r="H78" s="9"/>
      <c r="I78" s="9"/>
      <c r="J78" s="9"/>
      <c r="K78" s="8"/>
    </row>
    <row r="79" spans="1:14" ht="26.25" customHeight="1">
      <c r="A79" s="285" t="s">
        <v>106</v>
      </c>
      <c r="B79" s="285"/>
      <c r="C79" s="285"/>
      <c r="D79" s="279" t="s">
        <v>27</v>
      </c>
      <c r="E79" s="307" t="s">
        <v>107</v>
      </c>
      <c r="F79" s="308"/>
      <c r="G79" s="309"/>
      <c r="H79" s="9"/>
      <c r="I79" s="9"/>
      <c r="K79" s="8"/>
    </row>
    <row r="80" spans="1:14" ht="51.6" customHeight="1">
      <c r="A80" s="285" t="s">
        <v>108</v>
      </c>
      <c r="B80" s="285"/>
      <c r="C80" s="285"/>
      <c r="D80" s="268"/>
      <c r="E80" s="289" t="s">
        <v>109</v>
      </c>
      <c r="F80" s="287"/>
      <c r="G80" s="288"/>
      <c r="H80" s="70"/>
      <c r="I80" s="70"/>
    </row>
    <row r="81" spans="1:11" ht="39.4" customHeight="1">
      <c r="A81" s="285" t="s">
        <v>110</v>
      </c>
      <c r="B81" s="285"/>
      <c r="C81" s="285"/>
      <c r="D81" s="69"/>
      <c r="E81" s="289" t="s">
        <v>111</v>
      </c>
      <c r="F81" s="287"/>
      <c r="G81" s="288"/>
      <c r="H81" s="70"/>
      <c r="I81" s="70"/>
    </row>
    <row r="82" spans="1:11" ht="45" customHeight="1">
      <c r="A82" s="285" t="s">
        <v>112</v>
      </c>
      <c r="B82" s="285"/>
      <c r="C82" s="285"/>
      <c r="D82" s="69"/>
      <c r="E82" s="289" t="s">
        <v>113</v>
      </c>
      <c r="F82" s="287"/>
      <c r="G82" s="288"/>
      <c r="H82" s="70"/>
      <c r="I82" s="70"/>
    </row>
    <row r="83" spans="1:11" ht="30" customHeight="1">
      <c r="A83" s="285" t="s">
        <v>114</v>
      </c>
      <c r="B83" s="285"/>
      <c r="C83" s="285"/>
      <c r="D83" s="69"/>
      <c r="E83" s="289" t="s">
        <v>115</v>
      </c>
      <c r="F83" s="287"/>
      <c r="G83" s="288"/>
      <c r="H83" s="70"/>
      <c r="I83" s="70"/>
    </row>
    <row r="84" spans="1:11" ht="19.149999999999999" customHeight="1">
      <c r="A84" s="285" t="s">
        <v>116</v>
      </c>
      <c r="B84" s="285"/>
      <c r="C84" s="285"/>
      <c r="D84" s="69"/>
      <c r="E84" s="299"/>
      <c r="F84" s="300"/>
      <c r="G84" s="301"/>
      <c r="H84" s="70"/>
      <c r="I84" s="70"/>
      <c r="J84" s="9"/>
      <c r="K84" s="8"/>
    </row>
    <row r="85" spans="1:11" ht="15" customHeight="1">
      <c r="A85" s="277" t="s">
        <v>117</v>
      </c>
      <c r="B85" s="277"/>
      <c r="C85" s="277"/>
      <c r="D85" s="71">
        <f>SUM(D80:D84)</f>
        <v>0</v>
      </c>
      <c r="E85" s="71"/>
      <c r="F85" s="298"/>
      <c r="G85" s="298"/>
      <c r="H85" s="70"/>
      <c r="I85" s="70"/>
      <c r="J85" s="9"/>
      <c r="K85" s="8"/>
    </row>
    <row r="86" spans="1:11" ht="7.5" customHeight="1">
      <c r="A86" s="6"/>
      <c r="B86" s="6"/>
      <c r="C86" s="6"/>
      <c r="D86" s="72"/>
      <c r="E86" s="72"/>
      <c r="F86" s="298"/>
      <c r="G86" s="298"/>
      <c r="H86" s="73"/>
      <c r="I86" s="73"/>
      <c r="J86" s="7"/>
      <c r="K86" s="8"/>
    </row>
    <row r="87" spans="1:11" ht="41.45" customHeight="1">
      <c r="A87" s="284" t="s">
        <v>118</v>
      </c>
      <c r="B87" s="285"/>
      <c r="C87" s="285"/>
      <c r="D87" s="69"/>
      <c r="E87" s="286" t="s">
        <v>119</v>
      </c>
      <c r="F87" s="287"/>
      <c r="G87" s="288"/>
      <c r="H87" s="70"/>
      <c r="I87" s="70"/>
      <c r="J87" s="9"/>
      <c r="K87" s="8"/>
    </row>
    <row r="88" spans="1:11" ht="15" customHeight="1">
      <c r="A88" s="277" t="s">
        <v>120</v>
      </c>
      <c r="B88" s="277"/>
      <c r="C88" s="277"/>
      <c r="D88" s="71">
        <f>D87+D85</f>
        <v>0</v>
      </c>
      <c r="E88" s="71"/>
      <c r="F88" s="71"/>
      <c r="G88" s="5"/>
      <c r="H88" s="70"/>
      <c r="I88" s="70"/>
      <c r="J88" s="9"/>
      <c r="K88" s="8"/>
    </row>
    <row r="89" spans="1:11" ht="6" customHeight="1">
      <c r="A89" s="277"/>
      <c r="B89" s="277"/>
      <c r="C89" s="277"/>
      <c r="D89" s="277"/>
      <c r="E89" s="277"/>
      <c r="F89" s="277"/>
      <c r="G89" s="277"/>
      <c r="H89" s="9"/>
      <c r="I89" s="9"/>
      <c r="J89" s="9"/>
      <c r="K89" s="8"/>
    </row>
    <row r="90" spans="1:11" ht="18" customHeight="1">
      <c r="A90" s="285" t="s">
        <v>121</v>
      </c>
      <c r="B90" s="285"/>
      <c r="C90" s="285"/>
      <c r="D90" s="69"/>
      <c r="E90" s="289" t="s">
        <v>122</v>
      </c>
      <c r="F90" s="287"/>
      <c r="G90" s="288"/>
      <c r="H90" s="74"/>
      <c r="I90" s="74"/>
      <c r="K90" s="8"/>
    </row>
    <row r="91" spans="1:11" ht="6" customHeight="1">
      <c r="A91" s="277"/>
      <c r="B91" s="277"/>
      <c r="C91" s="277"/>
      <c r="D91" s="277"/>
      <c r="E91" s="277"/>
      <c r="F91" s="277"/>
      <c r="G91" s="277"/>
      <c r="H91" s="9"/>
      <c r="I91" s="9"/>
      <c r="J91" s="9"/>
      <c r="K91" s="8"/>
    </row>
    <row r="92" spans="1:11" ht="24.75" customHeight="1">
      <c r="A92" s="285" t="s">
        <v>123</v>
      </c>
      <c r="B92" s="285"/>
      <c r="C92" s="285"/>
      <c r="D92" s="75"/>
      <c r="E92" s="289" t="s">
        <v>124</v>
      </c>
      <c r="F92" s="287"/>
      <c r="G92" s="288"/>
      <c r="H92" s="76"/>
      <c r="I92" s="76"/>
      <c r="K92" s="8"/>
    </row>
    <row r="93" spans="1:11" ht="6" customHeight="1">
      <c r="A93" s="277"/>
      <c r="B93" s="277"/>
      <c r="C93" s="277"/>
      <c r="D93" s="277"/>
      <c r="E93" s="277"/>
      <c r="F93" s="277"/>
      <c r="G93" s="277"/>
      <c r="H93" s="9"/>
      <c r="I93" s="9"/>
      <c r="J93" s="9"/>
      <c r="K93" s="8"/>
    </row>
    <row r="94" spans="1:11" ht="15" customHeight="1">
      <c r="A94" s="277"/>
      <c r="B94" s="277"/>
      <c r="C94" s="277"/>
      <c r="D94" s="16"/>
      <c r="E94" s="65"/>
      <c r="F94" s="77"/>
      <c r="G94" s="77"/>
      <c r="H94" s="18"/>
      <c r="I94" s="18"/>
      <c r="J94" s="18"/>
      <c r="K94" s="8"/>
    </row>
    <row r="95" spans="1:11" ht="6" customHeight="1">
      <c r="A95" s="78"/>
      <c r="B95" s="78"/>
      <c r="C95" s="78"/>
      <c r="D95" s="78"/>
      <c r="E95" s="78"/>
      <c r="F95" s="78"/>
      <c r="G95" s="78"/>
      <c r="H95" s="79"/>
      <c r="I95" s="79"/>
      <c r="J95" s="79"/>
    </row>
    <row r="96" spans="1:11" ht="6" customHeight="1">
      <c r="B96" s="278"/>
      <c r="C96" s="278"/>
      <c r="D96" s="80"/>
      <c r="E96" s="80"/>
      <c r="F96" s="80"/>
      <c r="G96" s="80"/>
      <c r="H96" s="80"/>
      <c r="I96" s="80"/>
      <c r="J96" s="80"/>
    </row>
    <row r="97" spans="1:14" ht="16.5" customHeight="1">
      <c r="A97" s="68" t="s">
        <v>125</v>
      </c>
      <c r="B97" s="81"/>
      <c r="C97" s="81"/>
      <c r="D97" s="3"/>
      <c r="E97" s="3"/>
      <c r="G97" s="82"/>
      <c r="H97" s="3"/>
      <c r="I97" s="3"/>
      <c r="J97" s="3"/>
      <c r="K97" s="3"/>
      <c r="L97" s="3"/>
      <c r="M97" s="3"/>
      <c r="N97" s="3"/>
    </row>
    <row r="98" spans="1:14" ht="6" customHeight="1">
      <c r="A98" s="9"/>
      <c r="B98" s="9"/>
      <c r="C98" s="9"/>
      <c r="D98" s="9"/>
      <c r="E98" s="9"/>
      <c r="F98" s="9"/>
      <c r="G98" s="9"/>
      <c r="H98" s="9"/>
      <c r="I98" s="9"/>
      <c r="J98" s="9"/>
      <c r="K98" s="9"/>
      <c r="L98" s="9"/>
      <c r="M98" s="9"/>
    </row>
    <row r="99" spans="1:14" ht="15" customHeight="1">
      <c r="A99" s="22" t="s">
        <v>126</v>
      </c>
      <c r="B99" s="9"/>
      <c r="C99" s="9"/>
      <c r="D99" s="83"/>
      <c r="E99" s="83"/>
      <c r="F99" s="83"/>
      <c r="G99" s="83"/>
      <c r="H99" s="83"/>
      <c r="I99" s="83"/>
      <c r="J99" s="83"/>
      <c r="K99" s="83"/>
      <c r="L99" s="83"/>
      <c r="M99" s="83"/>
    </row>
    <row r="100" spans="1:14" ht="15" customHeight="1">
      <c r="A100" s="290" t="s">
        <v>127</v>
      </c>
      <c r="B100" s="291"/>
      <c r="C100" s="291"/>
      <c r="D100" s="291"/>
      <c r="E100" s="291"/>
      <c r="F100" s="291"/>
      <c r="G100" s="292"/>
      <c r="H100" s="9"/>
      <c r="I100" s="22"/>
      <c r="J100" s="9"/>
      <c r="K100" s="9"/>
      <c r="L100" s="9"/>
      <c r="M100" s="9"/>
    </row>
    <row r="101" spans="1:14" ht="18" customHeight="1">
      <c r="A101" s="9"/>
      <c r="B101" s="9"/>
      <c r="C101" s="9"/>
      <c r="D101" s="9"/>
      <c r="E101" s="9"/>
      <c r="F101" s="9"/>
      <c r="G101" s="9"/>
      <c r="H101" s="9"/>
      <c r="I101" s="9"/>
      <c r="J101" s="9"/>
      <c r="K101" s="9"/>
      <c r="L101" s="9"/>
      <c r="M101" s="9"/>
      <c r="N101" s="9"/>
    </row>
    <row r="102" spans="1:14" ht="19.149999999999999" customHeight="1">
      <c r="A102" s="293" t="s">
        <v>128</v>
      </c>
      <c r="B102" s="294"/>
      <c r="C102" s="295"/>
      <c r="D102" s="22" t="s">
        <v>129</v>
      </c>
      <c r="E102" s="9"/>
      <c r="F102" s="9"/>
      <c r="G102" s="9"/>
      <c r="H102" s="9"/>
      <c r="I102" s="9"/>
      <c r="J102" s="9"/>
      <c r="K102" s="9"/>
      <c r="L102" s="9"/>
      <c r="M102" s="9"/>
      <c r="N102" s="9"/>
    </row>
    <row r="103" spans="1:14">
      <c r="A103" s="19"/>
      <c r="B103" s="19"/>
      <c r="C103" s="19"/>
      <c r="D103" s="19"/>
      <c r="E103" s="19"/>
      <c r="F103" s="19"/>
      <c r="G103" s="19"/>
      <c r="H103" s="8"/>
      <c r="I103" s="8"/>
      <c r="J103" s="8"/>
      <c r="K103" s="8"/>
      <c r="L103" s="8"/>
      <c r="M103" s="8"/>
      <c r="N103" s="8"/>
    </row>
    <row r="104" spans="1:14" ht="13.5" customHeight="1">
      <c r="A104" s="22" t="s">
        <v>130</v>
      </c>
      <c r="B104" s="9"/>
      <c r="C104" s="9"/>
      <c r="D104" s="296">
        <v>39</v>
      </c>
      <c r="E104" s="297"/>
      <c r="F104" s="9"/>
      <c r="G104" s="9"/>
      <c r="H104" s="22"/>
      <c r="I104" s="9"/>
      <c r="J104" s="9"/>
      <c r="K104" s="9"/>
      <c r="L104" s="9"/>
      <c r="M104" s="9"/>
      <c r="N104" s="9"/>
    </row>
    <row r="105" spans="1:14" ht="13.5" customHeight="1">
      <c r="A105" s="22"/>
      <c r="B105" s="9"/>
      <c r="C105" s="9"/>
      <c r="D105" s="9"/>
      <c r="E105" s="9"/>
      <c r="F105" s="9"/>
      <c r="G105" s="9"/>
      <c r="H105" s="22"/>
      <c r="I105" s="9"/>
      <c r="J105" s="9"/>
      <c r="K105" s="9"/>
      <c r="L105" s="9"/>
      <c r="M105" s="9"/>
      <c r="N105" s="9"/>
    </row>
    <row r="106" spans="1:14" ht="13.5" customHeight="1">
      <c r="A106" s="22"/>
      <c r="B106" s="9"/>
      <c r="C106" s="9"/>
      <c r="D106" s="9"/>
      <c r="E106" s="9"/>
      <c r="F106" s="9"/>
      <c r="G106" s="9"/>
      <c r="H106" s="22"/>
      <c r="I106" s="9"/>
      <c r="J106" s="9"/>
      <c r="K106" s="9"/>
      <c r="L106" s="9"/>
      <c r="M106" s="9"/>
      <c r="N106" s="9"/>
    </row>
    <row r="107" spans="1:14" ht="14.65" customHeight="1">
      <c r="A107" s="68" t="s">
        <v>131</v>
      </c>
      <c r="B107" s="81"/>
      <c r="C107" s="81"/>
      <c r="D107" s="3"/>
      <c r="E107" s="3"/>
      <c r="F107" s="82"/>
      <c r="G107" s="19"/>
      <c r="H107" s="19"/>
      <c r="I107" s="8"/>
      <c r="J107" s="8"/>
      <c r="K107" s="8"/>
      <c r="L107" s="8"/>
      <c r="M107" s="8"/>
      <c r="N107" s="8"/>
    </row>
    <row r="108" spans="1:14" ht="15" customHeight="1">
      <c r="A108" s="9"/>
      <c r="B108" s="9"/>
      <c r="C108" s="9"/>
      <c r="D108" s="9"/>
      <c r="E108" s="9"/>
      <c r="F108" s="9"/>
      <c r="G108" s="9"/>
      <c r="H108" s="9"/>
      <c r="I108" s="9"/>
      <c r="J108" s="9"/>
      <c r="K108" s="8"/>
      <c r="L108" s="8"/>
      <c r="M108" s="8"/>
      <c r="N108" s="8"/>
    </row>
    <row r="109" spans="1:14" ht="11.25" customHeight="1">
      <c r="A109" s="9" t="s">
        <v>132</v>
      </c>
      <c r="B109" s="9"/>
      <c r="C109" s="9"/>
      <c r="D109" s="9"/>
      <c r="E109" s="9"/>
      <c r="F109" s="9"/>
      <c r="G109" s="9"/>
      <c r="H109" s="9"/>
      <c r="I109" s="9"/>
      <c r="J109" s="9"/>
      <c r="K109" s="8"/>
      <c r="L109" s="8"/>
      <c r="M109" s="8"/>
      <c r="N109" s="8"/>
    </row>
    <row r="110" spans="1:14" ht="15">
      <c r="A110" s="9" t="s">
        <v>133</v>
      </c>
      <c r="B110" s="9"/>
      <c r="C110" s="9"/>
      <c r="D110" s="9"/>
      <c r="E110" s="9"/>
      <c r="F110" s="9"/>
      <c r="G110" s="9"/>
      <c r="H110" s="9"/>
      <c r="I110" s="9"/>
      <c r="J110" s="9"/>
      <c r="K110" s="8"/>
      <c r="L110" s="8"/>
      <c r="M110" s="8"/>
      <c r="N110" s="8"/>
    </row>
    <row r="111" spans="1:14" ht="15" customHeight="1">
      <c r="A111" s="56"/>
      <c r="B111" s="56"/>
      <c r="C111" s="56"/>
      <c r="D111" s="9"/>
      <c r="E111" s="9"/>
      <c r="F111" s="9"/>
      <c r="G111" s="9"/>
      <c r="H111" s="9"/>
      <c r="I111" s="9"/>
      <c r="J111" s="9"/>
      <c r="K111" s="8"/>
      <c r="L111" s="8"/>
      <c r="M111" s="8"/>
      <c r="N111" s="8"/>
    </row>
    <row r="112" spans="1:14" ht="15" customHeight="1">
      <c r="A112" s="283" t="s">
        <v>134</v>
      </c>
      <c r="B112" s="283"/>
      <c r="C112" s="84"/>
      <c r="D112" s="278" t="s">
        <v>135</v>
      </c>
      <c r="E112" s="269"/>
      <c r="G112" s="9"/>
      <c r="H112" s="9"/>
      <c r="I112" s="9"/>
      <c r="J112" s="9"/>
      <c r="K112" s="8"/>
      <c r="L112" s="8"/>
      <c r="M112" s="8"/>
      <c r="N112" s="8"/>
    </row>
    <row r="113" spans="1:16" ht="15" customHeight="1">
      <c r="A113" s="283" t="s">
        <v>136</v>
      </c>
      <c r="B113" s="283"/>
      <c r="C113" s="84"/>
      <c r="D113" s="278" t="s">
        <v>137</v>
      </c>
      <c r="E113" s="84"/>
      <c r="F113" s="80"/>
      <c r="G113" s="9"/>
      <c r="H113" s="9"/>
      <c r="I113" s="9"/>
      <c r="J113" s="9"/>
      <c r="K113" s="8"/>
      <c r="L113" s="8"/>
      <c r="M113" s="8"/>
      <c r="N113" s="8"/>
    </row>
    <row r="114" spans="1:16" ht="15" customHeight="1">
      <c r="A114" s="283" t="s">
        <v>138</v>
      </c>
      <c r="B114" s="283"/>
      <c r="C114" s="84"/>
      <c r="D114" s="278" t="s">
        <v>139</v>
      </c>
      <c r="E114" s="84"/>
      <c r="F114" s="80"/>
      <c r="G114" s="9"/>
      <c r="H114" s="9"/>
      <c r="I114" s="9"/>
      <c r="J114" s="9"/>
      <c r="K114" s="9"/>
      <c r="L114" s="9"/>
      <c r="M114" s="9"/>
      <c r="N114" s="9"/>
      <c r="O114" s="278"/>
      <c r="P114" s="278"/>
    </row>
    <row r="115" spans="1:16" ht="15" customHeight="1">
      <c r="B115" s="278"/>
      <c r="C115" s="278"/>
      <c r="D115" s="278" t="s">
        <v>140</v>
      </c>
      <c r="E115" s="84"/>
      <c r="F115" s="80"/>
      <c r="G115" s="9"/>
      <c r="H115" s="9"/>
      <c r="I115" s="9"/>
      <c r="J115" s="9"/>
      <c r="K115" s="9"/>
      <c r="L115" s="9"/>
      <c r="M115" s="9"/>
      <c r="N115" s="9"/>
      <c r="O115" s="278"/>
      <c r="P115" s="278"/>
    </row>
    <row r="116" spans="1:16" ht="15" customHeight="1">
      <c r="A116" s="19"/>
      <c r="B116" s="19"/>
      <c r="C116" s="19"/>
      <c r="D116" s="19"/>
      <c r="E116" s="19"/>
      <c r="F116" s="19"/>
      <c r="G116" s="9"/>
      <c r="H116" s="9"/>
      <c r="I116" s="9"/>
      <c r="J116" s="9"/>
      <c r="K116" s="9"/>
      <c r="L116" s="9"/>
      <c r="M116" s="9"/>
      <c r="N116" s="9"/>
      <c r="O116" s="278"/>
      <c r="P116" s="278"/>
    </row>
    <row r="117" spans="1:16" ht="15" customHeight="1">
      <c r="A117" s="85" t="s">
        <v>141</v>
      </c>
      <c r="B117" s="86"/>
      <c r="C117" s="87"/>
      <c r="D117" s="87"/>
      <c r="E117" s="88"/>
      <c r="F117" s="9"/>
      <c r="G117" s="19"/>
      <c r="H117" s="8"/>
      <c r="I117" s="8"/>
      <c r="J117" s="8"/>
      <c r="K117" s="9"/>
      <c r="L117" s="9"/>
      <c r="M117" s="9"/>
      <c r="N117" s="9"/>
      <c r="O117" s="278"/>
      <c r="P117" s="278"/>
    </row>
    <row r="118" spans="1:16" ht="15" customHeight="1">
      <c r="A118" s="89"/>
      <c r="B118" s="9"/>
      <c r="C118" s="9"/>
      <c r="D118" s="9"/>
      <c r="E118" s="90"/>
      <c r="F118" s="9"/>
      <c r="G118" s="19"/>
      <c r="H118" s="8"/>
      <c r="I118" s="8"/>
      <c r="J118" s="8"/>
      <c r="K118" s="8"/>
      <c r="L118" s="8"/>
      <c r="M118" s="8"/>
      <c r="N118" s="8"/>
    </row>
    <row r="119" spans="1:16" ht="15" customHeight="1">
      <c r="A119" s="89" t="s">
        <v>142</v>
      </c>
      <c r="B119" s="9"/>
      <c r="C119" s="9"/>
      <c r="D119" s="9"/>
      <c r="E119" s="90"/>
      <c r="F119" s="9"/>
      <c r="G119" s="19"/>
      <c r="H119" s="8"/>
      <c r="I119" s="8"/>
      <c r="J119" s="8"/>
      <c r="K119" s="8"/>
      <c r="L119" s="8"/>
      <c r="M119" s="8"/>
      <c r="N119" s="8"/>
    </row>
    <row r="120" spans="1:16">
      <c r="A120" s="91"/>
      <c r="B120" s="9"/>
      <c r="C120" s="9"/>
      <c r="D120" s="9"/>
      <c r="E120" s="90"/>
      <c r="F120" s="9"/>
      <c r="G120" s="19"/>
      <c r="H120" s="8"/>
      <c r="I120" s="8"/>
      <c r="J120" s="8"/>
      <c r="K120" s="8"/>
      <c r="L120" s="8"/>
      <c r="M120" s="8"/>
      <c r="N120" s="8"/>
    </row>
    <row r="121" spans="1:16">
      <c r="A121" s="89"/>
      <c r="B121" s="9"/>
      <c r="C121" s="9"/>
      <c r="D121" s="9"/>
      <c r="E121" s="90"/>
      <c r="F121" s="9"/>
      <c r="G121" s="19"/>
      <c r="H121" s="8"/>
      <c r="I121" s="8"/>
      <c r="J121" s="8"/>
      <c r="K121" s="8"/>
      <c r="L121" s="8"/>
      <c r="M121" s="8"/>
      <c r="N121" s="8"/>
    </row>
    <row r="122" spans="1:16">
      <c r="A122" s="89"/>
      <c r="B122" s="9"/>
      <c r="C122" s="9"/>
      <c r="D122" s="9"/>
      <c r="E122" s="90"/>
      <c r="F122" s="9"/>
      <c r="G122" s="19"/>
      <c r="H122" s="8"/>
      <c r="I122" s="8"/>
      <c r="J122" s="8"/>
      <c r="K122" s="8"/>
      <c r="L122" s="8"/>
      <c r="M122" s="8"/>
      <c r="N122" s="8"/>
    </row>
    <row r="123" spans="1:16">
      <c r="A123" s="89"/>
      <c r="B123" s="9"/>
      <c r="C123" s="9"/>
      <c r="D123" s="9"/>
      <c r="E123" s="90"/>
      <c r="F123" s="9"/>
      <c r="G123" s="19"/>
      <c r="H123" s="8"/>
      <c r="I123" s="8"/>
      <c r="J123" s="8"/>
      <c r="K123" s="8"/>
      <c r="L123" s="8"/>
      <c r="M123" s="8"/>
      <c r="N123" s="8"/>
    </row>
    <row r="124" spans="1:16">
      <c r="A124" s="92"/>
      <c r="B124" s="93"/>
      <c r="C124" s="93"/>
      <c r="D124" s="9"/>
      <c r="E124" s="90"/>
      <c r="F124" s="9"/>
      <c r="G124" s="8"/>
      <c r="H124" s="8"/>
      <c r="I124" s="8"/>
      <c r="J124" s="8"/>
      <c r="K124" s="8"/>
      <c r="L124" s="8"/>
      <c r="M124" s="8"/>
      <c r="N124" s="8"/>
    </row>
    <row r="125" spans="1:16">
      <c r="A125" s="94" t="s">
        <v>143</v>
      </c>
      <c r="B125" s="93"/>
      <c r="C125" s="93"/>
      <c r="D125" s="93"/>
      <c r="E125" s="95"/>
      <c r="F125" s="9"/>
    </row>
    <row r="126" spans="1:16">
      <c r="A126" s="19"/>
      <c r="B126" s="19"/>
      <c r="C126" s="19"/>
      <c r="D126" s="19"/>
      <c r="E126" s="19"/>
      <c r="F126" s="19"/>
    </row>
    <row r="127" spans="1:16">
      <c r="A127" s="19"/>
      <c r="B127" s="19"/>
      <c r="C127" s="19"/>
      <c r="D127" s="19"/>
      <c r="E127" s="19"/>
      <c r="F127" s="19"/>
    </row>
    <row r="128" spans="1:16">
      <c r="A128" s="19"/>
      <c r="B128" s="19"/>
      <c r="C128" s="19"/>
      <c r="D128" s="19"/>
      <c r="E128" s="19"/>
      <c r="F128" s="19"/>
    </row>
    <row r="129" spans="1:6">
      <c r="A129" s="19"/>
      <c r="B129" s="19"/>
      <c r="C129" s="19"/>
      <c r="D129" s="19"/>
      <c r="E129" s="19"/>
      <c r="F129" s="19"/>
    </row>
    <row r="130" spans="1:6">
      <c r="A130" s="19"/>
      <c r="B130" s="19"/>
      <c r="C130" s="19"/>
      <c r="D130" s="19"/>
      <c r="E130" s="19"/>
      <c r="F130" s="19"/>
    </row>
    <row r="131" spans="1:6">
      <c r="A131" s="19"/>
      <c r="B131" s="19"/>
      <c r="C131" s="19"/>
      <c r="D131" s="19"/>
      <c r="E131" s="19"/>
      <c r="F131" s="19"/>
    </row>
    <row r="132" spans="1:6">
      <c r="A132" s="19"/>
      <c r="B132" s="19"/>
      <c r="C132" s="19"/>
      <c r="D132" s="19"/>
      <c r="E132" s="19"/>
      <c r="F132" s="19"/>
    </row>
    <row r="133" spans="1:6">
      <c r="A133" s="8"/>
      <c r="B133" s="8"/>
      <c r="C133" s="8"/>
      <c r="D133" s="8"/>
      <c r="E133" s="8"/>
      <c r="F133" s="8"/>
    </row>
  </sheetData>
  <sheetProtection algorithmName="SHA-512" hashValue="Qbh46A8YDCyIXfFHCIbf7P8Pgw5hC0euAddH134ksJ9w4xC92tJDCOPwXpykWOdGUxNL2gtj5k0vXzRIvYiJDQ==" saltValue="BjZo9TuRiqg9gfH5vUlvlA==" spinCount="100000" sheet="1" objects="1" scenarios="1" selectLockedCells="1" selectUnlockedCells="1"/>
  <mergeCells count="43">
    <mergeCell ref="A13:B13"/>
    <mergeCell ref="C13:G13"/>
    <mergeCell ref="A3:D3"/>
    <mergeCell ref="E3:G3"/>
    <mergeCell ref="A4:D4"/>
    <mergeCell ref="E4:G4"/>
    <mergeCell ref="A5:D5"/>
    <mergeCell ref="E5:G5"/>
    <mergeCell ref="A6:B6"/>
    <mergeCell ref="C6:D6"/>
    <mergeCell ref="F6:G6"/>
    <mergeCell ref="F8:G8"/>
    <mergeCell ref="C10:G10"/>
    <mergeCell ref="A29:F29"/>
    <mergeCell ref="A30:B30"/>
    <mergeCell ref="A31:B31"/>
    <mergeCell ref="B69:E69"/>
    <mergeCell ref="A79:C79"/>
    <mergeCell ref="E79:G79"/>
    <mergeCell ref="F86:G86"/>
    <mergeCell ref="A80:C80"/>
    <mergeCell ref="E80:G80"/>
    <mergeCell ref="A81:C81"/>
    <mergeCell ref="E81:G81"/>
    <mergeCell ref="A82:C82"/>
    <mergeCell ref="E82:G82"/>
    <mergeCell ref="A83:C83"/>
    <mergeCell ref="E83:G83"/>
    <mergeCell ref="A84:C84"/>
    <mergeCell ref="E84:G84"/>
    <mergeCell ref="F85:G85"/>
    <mergeCell ref="A114:B114"/>
    <mergeCell ref="A87:C87"/>
    <mergeCell ref="E87:G87"/>
    <mergeCell ref="A90:C90"/>
    <mergeCell ref="E90:G90"/>
    <mergeCell ref="A92:C92"/>
    <mergeCell ref="E92:G92"/>
    <mergeCell ref="A100:G100"/>
    <mergeCell ref="A102:C102"/>
    <mergeCell ref="D104:E104"/>
    <mergeCell ref="A112:B112"/>
    <mergeCell ref="A113:B113"/>
  </mergeCells>
  <conditionalFormatting sqref="D21">
    <cfRule type="expression" dxfId="10" priority="1">
      <formula>$AC$81=1</formula>
    </cfRule>
    <cfRule type="expression" dxfId="9" priority="2" stopIfTrue="1">
      <formula>$X$89&gt;0</formula>
    </cfRule>
    <cfRule type="expression" dxfId="8" priority="3">
      <formula>$V$22=2</formula>
    </cfRule>
  </conditionalFormatting>
  <dataValidations count="1">
    <dataValidation type="list" allowBlank="1" showInputMessage="1" showErrorMessage="1" sqref="D107:D115 E107:E111" xr:uid="{81C48DDB-23AF-496F-9660-670CA8D61523}">
      <formula1>$AD$2:$AD$25</formula1>
    </dataValidation>
  </dataValidations>
  <pageMargins left="0.7" right="0.7" top="0.78740157499999996" bottom="0.78740157499999996" header="0.3" footer="0.3"/>
  <pageSetup paperSize="9"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27AE6-C866-445D-9926-D0F3E3C21730}">
  <sheetPr>
    <tabColor theme="9" tint="0.79998168889431442"/>
  </sheetPr>
  <dimension ref="B1:AF144"/>
  <sheetViews>
    <sheetView showGridLines="0" topLeftCell="A33" workbookViewId="0">
      <selection activeCell="L2" sqref="L2"/>
    </sheetView>
  </sheetViews>
  <sheetFormatPr defaultColWidth="11.42578125" defaultRowHeight="12.75"/>
  <cols>
    <col min="1" max="1" width="5" style="99" customWidth="1"/>
    <col min="2" max="2" width="14" style="99" customWidth="1"/>
    <col min="3" max="3" width="11.42578125" style="99"/>
    <col min="4" max="4" width="21.7109375" style="99" customWidth="1"/>
    <col min="5" max="5" width="13.85546875" style="99" customWidth="1"/>
    <col min="6" max="6" width="11.42578125" style="99"/>
    <col min="7" max="7" width="14.5703125" style="99" customWidth="1"/>
    <col min="8" max="8" width="11.42578125" style="99"/>
    <col min="9" max="9" width="12.7109375" style="99" customWidth="1"/>
    <col min="10" max="10" width="10.7109375" style="99" customWidth="1"/>
    <col min="11" max="11" width="7.7109375" style="99" customWidth="1"/>
    <col min="12" max="12" width="21.28515625" style="99" customWidth="1"/>
    <col min="13" max="13" width="11.42578125" style="99"/>
    <col min="14" max="14" width="19.85546875" style="99" customWidth="1"/>
    <col min="15" max="15" width="15" style="99" customWidth="1"/>
    <col min="16" max="16" width="9.7109375" style="99" customWidth="1"/>
    <col min="17" max="17" width="11.42578125" style="99"/>
    <col min="18" max="18" width="14" style="99" customWidth="1"/>
    <col min="19" max="19" width="7.28515625" style="99" customWidth="1"/>
    <col min="20" max="20" width="11.42578125" style="99"/>
    <col min="21" max="21" width="14" style="99" customWidth="1"/>
    <col min="22" max="22" width="5.42578125" style="99" customWidth="1"/>
    <col min="23" max="23" width="11.42578125" style="99"/>
    <col min="24" max="24" width="14.85546875" style="99" customWidth="1"/>
    <col min="25" max="25" width="16.42578125" style="99" customWidth="1"/>
    <col min="26" max="16384" width="11.42578125" style="99"/>
  </cols>
  <sheetData>
    <row r="1" spans="2:32" ht="15">
      <c r="B1" s="96" t="s">
        <v>144</v>
      </c>
      <c r="C1" s="96"/>
      <c r="D1" s="97"/>
      <c r="E1" s="97"/>
      <c r="F1" s="97"/>
      <c r="G1" s="97"/>
      <c r="H1" s="97"/>
      <c r="I1" s="97"/>
      <c r="J1" s="97"/>
      <c r="K1" s="98"/>
      <c r="M1" s="100"/>
      <c r="N1" s="100"/>
      <c r="O1" s="100"/>
      <c r="P1" s="100"/>
      <c r="Q1" s="100"/>
      <c r="R1" s="100"/>
      <c r="S1" s="100"/>
      <c r="T1" s="100"/>
      <c r="U1" s="100"/>
      <c r="V1" s="100"/>
      <c r="W1" s="100"/>
      <c r="X1" s="100"/>
      <c r="Y1" s="100"/>
      <c r="Z1" s="100"/>
      <c r="AA1" s="100"/>
      <c r="AB1" s="100"/>
      <c r="AC1" s="100"/>
      <c r="AD1" s="100"/>
      <c r="AE1" s="100"/>
      <c r="AF1" s="100"/>
    </row>
    <row r="2" spans="2:32" ht="6.6" hidden="1" customHeight="1">
      <c r="K2" s="281"/>
      <c r="L2" s="102" t="s">
        <v>145</v>
      </c>
      <c r="M2" s="100"/>
      <c r="N2" s="100"/>
      <c r="O2" s="100"/>
      <c r="P2" s="100"/>
      <c r="Q2" s="100"/>
      <c r="R2" s="100"/>
      <c r="S2" s="100"/>
      <c r="T2" s="100"/>
      <c r="U2" s="100"/>
      <c r="V2" s="100"/>
      <c r="W2" s="100"/>
      <c r="X2" s="100"/>
      <c r="Y2" s="100"/>
      <c r="Z2" s="100"/>
      <c r="AA2" s="100"/>
      <c r="AB2" s="100"/>
      <c r="AC2" s="100"/>
      <c r="AD2" s="100"/>
      <c r="AE2" s="100"/>
      <c r="AF2" s="100"/>
    </row>
    <row r="3" spans="2:32" ht="3.6" hidden="1" customHeight="1">
      <c r="B3" s="103" t="s">
        <v>146</v>
      </c>
      <c r="C3" s="103"/>
      <c r="D3" s="103"/>
      <c r="K3" s="281"/>
      <c r="L3" s="104"/>
      <c r="M3" s="100"/>
      <c r="N3" s="100"/>
      <c r="O3" s="100"/>
      <c r="P3" s="100"/>
      <c r="Q3" s="100"/>
      <c r="R3" s="100"/>
      <c r="S3" s="100"/>
      <c r="T3" s="100"/>
      <c r="U3" s="100"/>
      <c r="V3" s="100"/>
      <c r="W3" s="100"/>
      <c r="X3" s="100"/>
      <c r="Y3" s="100"/>
      <c r="Z3" s="100"/>
      <c r="AA3" s="100"/>
      <c r="AB3" s="100"/>
      <c r="AC3" s="100"/>
      <c r="AD3" s="100"/>
      <c r="AE3" s="100"/>
      <c r="AF3" s="100"/>
    </row>
    <row r="4" spans="2:32" ht="15">
      <c r="B4" s="105"/>
      <c r="C4" s="106"/>
      <c r="D4" s="103"/>
      <c r="H4" s="100"/>
      <c r="I4" s="100"/>
      <c r="L4" s="103"/>
      <c r="M4" s="100"/>
      <c r="N4" s="100"/>
      <c r="O4" s="100"/>
      <c r="P4" s="100"/>
      <c r="Q4" s="107"/>
      <c r="R4" s="100"/>
      <c r="S4" s="100"/>
      <c r="T4" s="108"/>
      <c r="U4" s="100"/>
      <c r="V4" s="109"/>
      <c r="W4" s="100"/>
      <c r="X4" s="100"/>
      <c r="Y4" s="109"/>
      <c r="Z4" s="100"/>
      <c r="AA4" s="100"/>
      <c r="AB4" s="100"/>
      <c r="AC4" s="100"/>
      <c r="AD4" s="100"/>
      <c r="AE4" s="100"/>
      <c r="AF4" s="100"/>
    </row>
    <row r="5" spans="2:32" ht="15">
      <c r="B5" s="105"/>
      <c r="C5" s="110"/>
      <c r="D5" s="103"/>
      <c r="H5" s="100"/>
      <c r="I5" s="100"/>
      <c r="K5" s="111"/>
      <c r="L5" s="112"/>
      <c r="M5" s="100"/>
      <c r="N5" s="113"/>
      <c r="O5" s="100"/>
      <c r="P5" s="100"/>
      <c r="Q5" s="114"/>
      <c r="R5" s="100"/>
      <c r="S5" s="100"/>
      <c r="T5" s="113"/>
      <c r="U5" s="100"/>
      <c r="V5" s="109"/>
      <c r="W5" s="100"/>
      <c r="X5" s="100"/>
      <c r="Y5" s="109"/>
      <c r="Z5" s="100"/>
      <c r="AA5" s="100"/>
      <c r="AB5" s="100"/>
      <c r="AC5" s="100"/>
      <c r="AD5" s="100"/>
      <c r="AE5" s="100"/>
      <c r="AF5" s="100"/>
    </row>
    <row r="6" spans="2:32" ht="15">
      <c r="B6" s="105"/>
      <c r="C6" s="110"/>
      <c r="D6" s="103"/>
      <c r="L6" s="103"/>
      <c r="M6" s="100"/>
      <c r="N6" s="113"/>
      <c r="O6" s="100"/>
      <c r="P6" s="100"/>
      <c r="Q6" s="114"/>
      <c r="R6" s="100"/>
      <c r="S6" s="100"/>
      <c r="T6" s="113"/>
      <c r="U6" s="100"/>
      <c r="V6" s="109"/>
      <c r="W6" s="100"/>
      <c r="X6" s="100"/>
      <c r="Y6" s="109"/>
      <c r="Z6" s="100"/>
      <c r="AA6" s="100"/>
      <c r="AB6" s="100"/>
      <c r="AC6" s="100"/>
      <c r="AD6" s="100"/>
      <c r="AE6" s="100"/>
      <c r="AF6" s="100"/>
    </row>
    <row r="7" spans="2:32" ht="15">
      <c r="B7" s="103"/>
      <c r="C7" s="103"/>
      <c r="D7" s="103"/>
      <c r="L7" s="103"/>
      <c r="M7" s="100"/>
      <c r="N7" s="100"/>
      <c r="O7" s="100"/>
      <c r="P7" s="100"/>
      <c r="Q7" s="100"/>
      <c r="R7" s="100"/>
      <c r="S7" s="100"/>
      <c r="T7" s="100"/>
      <c r="U7" s="100"/>
      <c r="V7" s="109"/>
      <c r="W7" s="100"/>
      <c r="X7" s="115"/>
      <c r="Y7" s="115"/>
      <c r="Z7" s="100"/>
      <c r="AA7" s="100"/>
      <c r="AB7" s="100"/>
      <c r="AC7" s="100"/>
      <c r="AD7" s="100"/>
      <c r="AE7" s="100"/>
      <c r="AF7" s="100"/>
    </row>
    <row r="8" spans="2:32" ht="15">
      <c r="L8" s="103"/>
      <c r="M8" s="100"/>
      <c r="N8" s="100"/>
      <c r="O8" s="100"/>
      <c r="P8" s="100"/>
      <c r="Q8" s="100"/>
      <c r="R8" s="100"/>
      <c r="S8" s="100"/>
      <c r="T8" s="100"/>
      <c r="U8" s="100"/>
      <c r="V8" s="109"/>
      <c r="W8" s="100"/>
      <c r="X8" s="115"/>
      <c r="Y8" s="115"/>
      <c r="Z8" s="100"/>
      <c r="AA8" s="100"/>
      <c r="AB8" s="100"/>
      <c r="AC8" s="100"/>
      <c r="AD8" s="100"/>
      <c r="AE8" s="100"/>
      <c r="AF8" s="100"/>
    </row>
    <row r="9" spans="2:32" ht="23.45" customHeight="1">
      <c r="L9" s="103"/>
      <c r="M9" s="100"/>
      <c r="N9" s="100"/>
      <c r="O9" s="100"/>
      <c r="P9" s="100"/>
      <c r="Q9" s="100"/>
      <c r="R9" s="100"/>
      <c r="S9" s="100"/>
      <c r="T9" s="100"/>
      <c r="U9" s="100"/>
      <c r="V9" s="109"/>
      <c r="W9" s="100"/>
      <c r="X9" s="115"/>
      <c r="Y9" s="115"/>
      <c r="Z9" s="100"/>
      <c r="AA9" s="100"/>
      <c r="AB9" s="100"/>
      <c r="AC9" s="100"/>
      <c r="AD9" s="100"/>
      <c r="AE9" s="100"/>
      <c r="AF9" s="100"/>
    </row>
    <row r="10" spans="2:32" ht="15">
      <c r="L10" s="103"/>
      <c r="M10" s="100"/>
      <c r="N10" s="100"/>
      <c r="O10" s="100" t="s">
        <v>147</v>
      </c>
      <c r="P10" s="100"/>
      <c r="Q10" s="100" t="s">
        <v>148</v>
      </c>
      <c r="R10" s="100" t="s">
        <v>147</v>
      </c>
      <c r="S10" s="100"/>
      <c r="T10" s="100" t="s">
        <v>148</v>
      </c>
      <c r="U10" s="100" t="s">
        <v>147</v>
      </c>
      <c r="V10" s="109"/>
      <c r="W10" s="100" t="s">
        <v>148</v>
      </c>
      <c r="X10" s="100" t="s">
        <v>147</v>
      </c>
      <c r="Y10" s="115"/>
      <c r="Z10" s="100"/>
      <c r="AA10" s="100"/>
      <c r="AB10" s="100"/>
      <c r="AC10" s="100"/>
      <c r="AD10" s="100"/>
      <c r="AE10" s="100"/>
      <c r="AF10" s="100"/>
    </row>
    <row r="11" spans="2:32" ht="15">
      <c r="B11" s="97" t="s">
        <v>149</v>
      </c>
      <c r="C11" s="116">
        <v>45292</v>
      </c>
      <c r="D11" s="97" t="s">
        <v>150</v>
      </c>
      <c r="E11" s="116">
        <v>45657</v>
      </c>
      <c r="F11" s="97"/>
      <c r="G11" s="116" t="s">
        <v>151</v>
      </c>
      <c r="H11" s="97" t="s">
        <v>152</v>
      </c>
      <c r="I11" s="97"/>
      <c r="L11" s="103"/>
      <c r="M11" s="100" t="s">
        <v>153</v>
      </c>
      <c r="N11" s="100"/>
      <c r="O11" s="100" t="s">
        <v>154</v>
      </c>
      <c r="P11" s="100"/>
      <c r="Q11" s="100" t="s">
        <v>155</v>
      </c>
      <c r="R11" s="100"/>
      <c r="S11" s="100"/>
      <c r="T11" s="100" t="s">
        <v>17</v>
      </c>
      <c r="U11" s="100"/>
      <c r="V11" s="100"/>
      <c r="W11" s="100" t="s">
        <v>156</v>
      </c>
      <c r="X11" s="100"/>
      <c r="Y11" s="100"/>
      <c r="Z11" s="100"/>
      <c r="AA11" s="100"/>
      <c r="AB11" s="100"/>
      <c r="AC11" s="100"/>
      <c r="AD11" s="100"/>
      <c r="AE11" s="100"/>
      <c r="AF11" s="100"/>
    </row>
    <row r="12" spans="2:32" s="125" customFormat="1" ht="11.25" customHeight="1">
      <c r="B12" s="117">
        <v>1</v>
      </c>
      <c r="C12" s="118" t="s">
        <v>32</v>
      </c>
      <c r="D12" s="119"/>
      <c r="E12" s="120"/>
      <c r="F12" s="121">
        <v>426</v>
      </c>
      <c r="G12" s="121">
        <v>0</v>
      </c>
      <c r="H12" s="122">
        <v>25.94</v>
      </c>
      <c r="I12" s="123"/>
      <c r="J12" s="124"/>
      <c r="L12" s="126"/>
      <c r="M12" s="127">
        <v>0</v>
      </c>
      <c r="N12" s="128"/>
      <c r="O12" s="128">
        <v>0</v>
      </c>
      <c r="Q12" s="128">
        <v>272.60000000000002</v>
      </c>
      <c r="R12" s="124">
        <v>0</v>
      </c>
      <c r="T12" s="128">
        <v>27.26</v>
      </c>
      <c r="U12" s="128">
        <v>0</v>
      </c>
      <c r="W12" s="128">
        <v>0</v>
      </c>
      <c r="X12" s="128">
        <v>0</v>
      </c>
    </row>
    <row r="13" spans="2:32" s="125" customFormat="1" ht="11.25" customHeight="1">
      <c r="B13" s="117">
        <v>2</v>
      </c>
      <c r="C13" s="118" t="s">
        <v>34</v>
      </c>
      <c r="D13" s="119"/>
      <c r="E13" s="120"/>
      <c r="F13" s="121">
        <v>228</v>
      </c>
      <c r="G13" s="121">
        <v>0</v>
      </c>
      <c r="H13" s="122">
        <v>13.88</v>
      </c>
      <c r="I13" s="123"/>
      <c r="J13" s="124"/>
      <c r="L13" s="126"/>
      <c r="M13" s="127">
        <v>0</v>
      </c>
      <c r="N13" s="128"/>
      <c r="O13" s="128">
        <v>0</v>
      </c>
      <c r="Q13" s="128">
        <v>145.9</v>
      </c>
      <c r="R13" s="124">
        <v>0</v>
      </c>
      <c r="T13" s="128">
        <v>14.59</v>
      </c>
      <c r="U13" s="128">
        <v>0</v>
      </c>
      <c r="V13" s="100"/>
      <c r="W13" s="128">
        <v>0</v>
      </c>
      <c r="X13" s="128">
        <v>0</v>
      </c>
    </row>
    <row r="14" spans="2:32" s="125" customFormat="1" ht="11.25" customHeight="1">
      <c r="B14" s="117">
        <v>3</v>
      </c>
      <c r="C14" s="118" t="s">
        <v>36</v>
      </c>
      <c r="D14" s="119"/>
      <c r="E14" s="120"/>
      <c r="F14" s="121">
        <v>104</v>
      </c>
      <c r="G14" s="121">
        <v>0</v>
      </c>
      <c r="H14" s="122">
        <v>6.33</v>
      </c>
      <c r="I14" s="123"/>
      <c r="J14" s="124"/>
      <c r="L14" s="126"/>
      <c r="M14" s="127">
        <v>0</v>
      </c>
      <c r="N14" s="128"/>
      <c r="O14" s="128">
        <v>0</v>
      </c>
      <c r="Q14" s="128">
        <v>66.55</v>
      </c>
      <c r="R14" s="124">
        <v>0</v>
      </c>
      <c r="T14" s="128">
        <v>6.65</v>
      </c>
      <c r="U14" s="128">
        <v>0</v>
      </c>
      <c r="V14" s="129"/>
      <c r="W14" s="128">
        <v>0</v>
      </c>
      <c r="X14" s="128">
        <v>0</v>
      </c>
    </row>
    <row r="15" spans="2:32" s="125" customFormat="1" ht="11.25" customHeight="1">
      <c r="B15" s="117">
        <v>4</v>
      </c>
      <c r="C15" s="118" t="s">
        <v>157</v>
      </c>
      <c r="D15" s="119"/>
      <c r="E15" s="120"/>
      <c r="F15" s="121">
        <v>104</v>
      </c>
      <c r="G15" s="121">
        <v>0</v>
      </c>
      <c r="H15" s="122">
        <v>6.33</v>
      </c>
      <c r="I15" s="123"/>
      <c r="J15" s="124"/>
      <c r="L15" s="126"/>
      <c r="M15" s="127">
        <v>0</v>
      </c>
      <c r="N15" s="128"/>
      <c r="O15" s="128">
        <v>0</v>
      </c>
      <c r="Q15" s="128">
        <v>66.55</v>
      </c>
      <c r="R15" s="124">
        <v>0</v>
      </c>
      <c r="T15" s="128">
        <v>6.65</v>
      </c>
      <c r="U15" s="128">
        <v>0</v>
      </c>
      <c r="V15" s="129"/>
      <c r="W15" s="128">
        <v>0</v>
      </c>
      <c r="X15" s="128">
        <v>0</v>
      </c>
    </row>
    <row r="16" spans="2:32" s="125" customFormat="1" ht="11.25" customHeight="1">
      <c r="B16" s="117">
        <v>5</v>
      </c>
      <c r="C16" s="118" t="s">
        <v>158</v>
      </c>
      <c r="D16" s="119"/>
      <c r="E16" s="120"/>
      <c r="F16" s="121">
        <v>260</v>
      </c>
      <c r="G16" s="121">
        <v>0</v>
      </c>
      <c r="H16" s="122">
        <v>15.83</v>
      </c>
      <c r="I16" s="123"/>
      <c r="J16" s="124"/>
      <c r="L16" s="126"/>
      <c r="M16" s="127">
        <v>0</v>
      </c>
      <c r="N16" s="128"/>
      <c r="O16" s="128">
        <v>0</v>
      </c>
      <c r="Q16" s="128">
        <v>166.37</v>
      </c>
      <c r="R16" s="124">
        <v>0</v>
      </c>
      <c r="T16" s="128">
        <v>16.64</v>
      </c>
      <c r="U16" s="128">
        <v>0</v>
      </c>
      <c r="W16" s="128">
        <v>0</v>
      </c>
      <c r="X16" s="128">
        <v>0</v>
      </c>
    </row>
    <row r="17" spans="2:24" s="125" customFormat="1" ht="11.25" customHeight="1">
      <c r="B17" s="117">
        <v>6</v>
      </c>
      <c r="C17" s="118" t="s">
        <v>159</v>
      </c>
      <c r="D17" s="119"/>
      <c r="E17" s="120"/>
      <c r="F17" s="121">
        <v>104</v>
      </c>
      <c r="G17" s="121">
        <v>0</v>
      </c>
      <c r="H17" s="122">
        <v>6.33</v>
      </c>
      <c r="I17" s="123"/>
      <c r="J17" s="124"/>
      <c r="L17" s="126"/>
      <c r="M17" s="127">
        <v>0</v>
      </c>
      <c r="N17" s="128"/>
      <c r="O17" s="128">
        <v>0</v>
      </c>
      <c r="Q17" s="128">
        <v>66.55</v>
      </c>
      <c r="R17" s="124">
        <v>0</v>
      </c>
      <c r="T17" s="128">
        <v>6.65</v>
      </c>
      <c r="U17" s="128">
        <v>0</v>
      </c>
      <c r="W17" s="128">
        <v>0</v>
      </c>
      <c r="X17" s="128">
        <v>0</v>
      </c>
    </row>
    <row r="18" spans="2:24" s="125" customFormat="1" ht="11.25" customHeight="1">
      <c r="B18" s="117">
        <v>7</v>
      </c>
      <c r="C18" s="118" t="s">
        <v>44</v>
      </c>
      <c r="D18" s="119"/>
      <c r="E18" s="120"/>
      <c r="F18" s="121">
        <v>104</v>
      </c>
      <c r="G18" s="121">
        <v>0</v>
      </c>
      <c r="H18" s="122">
        <v>6.33</v>
      </c>
      <c r="I18" s="123"/>
      <c r="J18" s="124"/>
      <c r="L18" s="126"/>
      <c r="M18" s="127">
        <v>0</v>
      </c>
      <c r="N18" s="128"/>
      <c r="O18" s="128">
        <v>0</v>
      </c>
      <c r="Q18" s="128">
        <v>66.55</v>
      </c>
      <c r="R18" s="124">
        <v>0</v>
      </c>
      <c r="T18" s="128">
        <v>6.65</v>
      </c>
      <c r="U18" s="128">
        <v>0</v>
      </c>
      <c r="W18" s="128">
        <v>0</v>
      </c>
      <c r="X18" s="128">
        <v>0</v>
      </c>
    </row>
    <row r="19" spans="2:24" s="125" customFormat="1" ht="11.25" customHeight="1">
      <c r="B19" s="117">
        <v>8</v>
      </c>
      <c r="C19" s="118" t="s">
        <v>46</v>
      </c>
      <c r="D19" s="119"/>
      <c r="E19" s="120"/>
      <c r="F19" s="121">
        <v>187</v>
      </c>
      <c r="G19" s="121">
        <v>0</v>
      </c>
      <c r="H19" s="122">
        <v>11.39</v>
      </c>
      <c r="I19" s="123"/>
      <c r="J19" s="124"/>
      <c r="L19" s="126"/>
      <c r="M19" s="127">
        <v>0</v>
      </c>
      <c r="N19" s="128"/>
      <c r="O19" s="128">
        <v>0</v>
      </c>
      <c r="Q19" s="128">
        <v>119.66</v>
      </c>
      <c r="R19" s="124">
        <v>0</v>
      </c>
      <c r="T19" s="128">
        <v>11.97</v>
      </c>
      <c r="U19" s="128">
        <v>0</v>
      </c>
      <c r="W19" s="128">
        <v>0</v>
      </c>
      <c r="X19" s="128">
        <v>0</v>
      </c>
    </row>
    <row r="20" spans="2:24" s="125" customFormat="1" ht="11.25" customHeight="1">
      <c r="B20" s="117">
        <v>9</v>
      </c>
      <c r="C20" s="118" t="s">
        <v>160</v>
      </c>
      <c r="D20" s="119"/>
      <c r="E20" s="120"/>
      <c r="F20" s="121">
        <v>360</v>
      </c>
      <c r="G20" s="121">
        <v>0</v>
      </c>
      <c r="H20" s="122">
        <v>21.92</v>
      </c>
      <c r="I20" s="123"/>
      <c r="J20" s="124"/>
      <c r="L20" s="126"/>
      <c r="M20" s="127">
        <v>0</v>
      </c>
      <c r="N20" s="128"/>
      <c r="O20" s="128">
        <v>0</v>
      </c>
      <c r="Q20" s="128">
        <v>230.36</v>
      </c>
      <c r="R20" s="124">
        <v>0</v>
      </c>
      <c r="T20" s="128">
        <v>23.04</v>
      </c>
      <c r="U20" s="128">
        <v>0</v>
      </c>
      <c r="W20" s="128">
        <v>0</v>
      </c>
      <c r="X20" s="128">
        <v>0</v>
      </c>
    </row>
    <row r="21" spans="2:24" s="125" customFormat="1" ht="11.25" customHeight="1">
      <c r="B21" s="117">
        <v>10</v>
      </c>
      <c r="C21" s="118" t="s">
        <v>161</v>
      </c>
      <c r="D21" s="119"/>
      <c r="E21" s="120"/>
      <c r="F21" s="121">
        <v>60</v>
      </c>
      <c r="G21" s="121">
        <v>0</v>
      </c>
      <c r="H21" s="122">
        <v>3.65</v>
      </c>
      <c r="I21" s="123"/>
      <c r="J21" s="124"/>
      <c r="L21" s="126"/>
      <c r="M21" s="127">
        <v>0</v>
      </c>
      <c r="N21" s="128"/>
      <c r="O21" s="128">
        <v>0</v>
      </c>
      <c r="Q21" s="128">
        <v>38.39</v>
      </c>
      <c r="R21" s="124">
        <v>0</v>
      </c>
      <c r="T21" s="128">
        <v>3.84</v>
      </c>
      <c r="U21" s="128">
        <v>0</v>
      </c>
      <c r="W21" s="128">
        <v>0</v>
      </c>
      <c r="X21" s="128">
        <v>0</v>
      </c>
    </row>
    <row r="22" spans="2:24" s="125" customFormat="1" ht="11.25" customHeight="1">
      <c r="B22" s="117">
        <v>11</v>
      </c>
      <c r="C22" s="118" t="s">
        <v>52</v>
      </c>
      <c r="D22" s="119"/>
      <c r="E22" s="120"/>
      <c r="F22" s="121">
        <v>150</v>
      </c>
      <c r="G22" s="121">
        <v>0</v>
      </c>
      <c r="H22" s="122">
        <v>9.1300000000000008</v>
      </c>
      <c r="I22" s="123"/>
      <c r="J22" s="124"/>
      <c r="L22" s="126"/>
      <c r="M22" s="127">
        <v>0</v>
      </c>
      <c r="N22" s="128"/>
      <c r="O22" s="128">
        <v>0</v>
      </c>
      <c r="Q22" s="128">
        <v>95.99</v>
      </c>
      <c r="R22" s="124">
        <v>0</v>
      </c>
      <c r="T22" s="128">
        <v>9.6</v>
      </c>
      <c r="U22" s="128">
        <v>0</v>
      </c>
      <c r="W22" s="128">
        <v>0</v>
      </c>
      <c r="X22" s="128">
        <v>0</v>
      </c>
    </row>
    <row r="23" spans="2:24" s="125" customFormat="1" ht="11.25" customHeight="1">
      <c r="B23" s="117">
        <v>12</v>
      </c>
      <c r="C23" s="118" t="s">
        <v>162</v>
      </c>
      <c r="D23" s="119"/>
      <c r="E23" s="120"/>
      <c r="F23" s="121">
        <v>150</v>
      </c>
      <c r="G23" s="121">
        <v>0</v>
      </c>
      <c r="H23" s="122">
        <v>9.1300000000000008</v>
      </c>
      <c r="I23" s="123"/>
      <c r="J23" s="124"/>
      <c r="L23" s="126"/>
      <c r="M23" s="127">
        <v>0</v>
      </c>
      <c r="N23" s="128"/>
      <c r="O23" s="128">
        <v>0</v>
      </c>
      <c r="Q23" s="128">
        <v>95.99</v>
      </c>
      <c r="R23" s="124">
        <v>0</v>
      </c>
      <c r="T23" s="128">
        <v>9.6</v>
      </c>
      <c r="U23" s="128">
        <v>0</v>
      </c>
      <c r="W23" s="128">
        <v>0</v>
      </c>
      <c r="X23" s="128">
        <v>0</v>
      </c>
    </row>
    <row r="24" spans="2:24" s="125" customFormat="1" ht="11.25" customHeight="1">
      <c r="B24" s="117">
        <v>13</v>
      </c>
      <c r="C24" s="118" t="s">
        <v>163</v>
      </c>
      <c r="D24" s="119"/>
      <c r="E24" s="120"/>
      <c r="F24" s="121">
        <v>540</v>
      </c>
      <c r="G24" s="121">
        <v>0</v>
      </c>
      <c r="H24" s="122">
        <v>32.880000000000003</v>
      </c>
      <c r="I24" s="123"/>
      <c r="J24" s="124"/>
      <c r="L24" s="126"/>
      <c r="M24" s="127">
        <v>0</v>
      </c>
      <c r="N24" s="128"/>
      <c r="O24" s="128">
        <v>0</v>
      </c>
      <c r="Q24" s="128">
        <v>345.55</v>
      </c>
      <c r="R24" s="124">
        <v>0</v>
      </c>
      <c r="T24" s="128">
        <v>34.549999999999997</v>
      </c>
      <c r="U24" s="128">
        <v>0</v>
      </c>
      <c r="W24" s="128">
        <v>0</v>
      </c>
      <c r="X24" s="128">
        <v>0</v>
      </c>
    </row>
    <row r="25" spans="2:24" s="125" customFormat="1" ht="11.25" customHeight="1">
      <c r="B25" s="117">
        <v>14</v>
      </c>
      <c r="C25" s="118" t="s">
        <v>164</v>
      </c>
      <c r="D25" s="119"/>
      <c r="E25" s="120"/>
      <c r="F25" s="121">
        <v>360</v>
      </c>
      <c r="G25" s="121">
        <v>0</v>
      </c>
      <c r="H25" s="122">
        <v>21.92</v>
      </c>
      <c r="I25" s="123"/>
      <c r="J25" s="124"/>
      <c r="L25" s="126"/>
      <c r="M25" s="127">
        <v>0</v>
      </c>
      <c r="N25" s="128"/>
      <c r="O25" s="128">
        <v>0</v>
      </c>
      <c r="Q25" s="128">
        <v>230.36</v>
      </c>
      <c r="R25" s="124">
        <v>0</v>
      </c>
      <c r="T25" s="128">
        <v>23.04</v>
      </c>
      <c r="U25" s="128">
        <v>0</v>
      </c>
      <c r="W25" s="128">
        <v>0</v>
      </c>
      <c r="X25" s="128">
        <v>0</v>
      </c>
    </row>
    <row r="26" spans="2:24" s="125" customFormat="1" ht="11.25" customHeight="1">
      <c r="B26" s="117">
        <v>15</v>
      </c>
      <c r="C26" s="118" t="s">
        <v>165</v>
      </c>
      <c r="D26" s="119"/>
      <c r="E26" s="120"/>
      <c r="F26" s="130"/>
      <c r="G26" s="121">
        <v>0</v>
      </c>
      <c r="H26" s="122">
        <v>3.98</v>
      </c>
      <c r="I26" s="123"/>
      <c r="J26" s="124"/>
      <c r="L26" s="126"/>
      <c r="M26" s="127"/>
      <c r="N26" s="127">
        <v>0</v>
      </c>
      <c r="O26" s="128">
        <v>0</v>
      </c>
      <c r="Q26" s="128">
        <v>5.89</v>
      </c>
      <c r="R26" s="124">
        <v>0</v>
      </c>
      <c r="T26" s="128">
        <v>5.89</v>
      </c>
      <c r="U26" s="128">
        <v>0</v>
      </c>
      <c r="W26" s="128">
        <v>0</v>
      </c>
      <c r="X26" s="128">
        <v>0</v>
      </c>
    </row>
    <row r="27" spans="2:24" s="125" customFormat="1" ht="11.25" customHeight="1">
      <c r="B27" s="131" t="s">
        <v>166</v>
      </c>
      <c r="C27" s="118" t="s">
        <v>167</v>
      </c>
      <c r="D27" s="119"/>
      <c r="E27" s="120"/>
      <c r="F27" s="132"/>
      <c r="G27" s="121">
        <v>0</v>
      </c>
      <c r="H27" s="122">
        <v>6.93</v>
      </c>
      <c r="I27" s="123"/>
      <c r="J27" s="124"/>
      <c r="L27" s="126"/>
      <c r="M27" s="127"/>
      <c r="N27" s="127">
        <v>0</v>
      </c>
      <c r="O27" s="128">
        <v>0</v>
      </c>
      <c r="Q27" s="128">
        <v>7.34</v>
      </c>
      <c r="R27" s="124">
        <v>0</v>
      </c>
      <c r="T27" s="128">
        <v>7.34</v>
      </c>
      <c r="U27" s="128">
        <v>0</v>
      </c>
      <c r="W27" s="128">
        <v>0</v>
      </c>
      <c r="X27" s="128">
        <v>0</v>
      </c>
    </row>
    <row r="28" spans="2:24" s="125" customFormat="1" ht="11.25" customHeight="1">
      <c r="B28" s="117">
        <v>16</v>
      </c>
      <c r="C28" s="118" t="s">
        <v>64</v>
      </c>
      <c r="D28" s="119"/>
      <c r="E28" s="120"/>
      <c r="F28" s="133">
        <v>1600</v>
      </c>
      <c r="G28" s="121">
        <v>0</v>
      </c>
      <c r="H28" s="122">
        <v>97.42</v>
      </c>
      <c r="I28" s="123"/>
      <c r="J28" s="124"/>
      <c r="L28" s="126"/>
      <c r="M28" s="127">
        <v>0</v>
      </c>
      <c r="N28" s="128"/>
      <c r="O28" s="128">
        <v>0</v>
      </c>
      <c r="Q28" s="128">
        <v>1023.84</v>
      </c>
      <c r="R28" s="124">
        <v>0</v>
      </c>
      <c r="T28" s="128">
        <v>102.38</v>
      </c>
      <c r="U28" s="128">
        <v>0</v>
      </c>
      <c r="W28" s="128">
        <v>0</v>
      </c>
      <c r="X28" s="128">
        <v>0</v>
      </c>
    </row>
    <row r="29" spans="2:24" s="125" customFormat="1" ht="11.25" customHeight="1">
      <c r="B29" s="131" t="s">
        <v>168</v>
      </c>
      <c r="C29" s="118" t="s">
        <v>66</v>
      </c>
      <c r="D29" s="119"/>
      <c r="E29" s="120"/>
      <c r="F29" s="133">
        <v>900</v>
      </c>
      <c r="G29" s="121">
        <v>0</v>
      </c>
      <c r="H29" s="122">
        <v>54.8</v>
      </c>
      <c r="I29" s="123"/>
      <c r="J29" s="124"/>
      <c r="L29" s="126"/>
      <c r="M29" s="127">
        <v>0</v>
      </c>
      <c r="N29" s="128"/>
      <c r="O29" s="128">
        <v>0</v>
      </c>
      <c r="Q29" s="128">
        <v>575.91</v>
      </c>
      <c r="R29" s="124">
        <v>0</v>
      </c>
      <c r="T29" s="128">
        <v>57.59</v>
      </c>
      <c r="U29" s="128">
        <v>0</v>
      </c>
      <c r="W29" s="128">
        <v>0</v>
      </c>
      <c r="X29" s="128">
        <v>0</v>
      </c>
    </row>
    <row r="30" spans="2:24" s="125" customFormat="1" ht="11.25" customHeight="1">
      <c r="B30" s="117">
        <v>17</v>
      </c>
      <c r="C30" s="118" t="s">
        <v>169</v>
      </c>
      <c r="D30" s="119"/>
      <c r="E30" s="120"/>
      <c r="F30" s="134">
        <v>1350</v>
      </c>
      <c r="G30" s="121">
        <v>0</v>
      </c>
      <c r="H30" s="122">
        <v>82.2</v>
      </c>
      <c r="I30" s="123"/>
      <c r="J30" s="124"/>
      <c r="L30" s="126"/>
      <c r="M30" s="127">
        <v>0</v>
      </c>
      <c r="N30" s="127"/>
      <c r="O30" s="128">
        <v>0</v>
      </c>
      <c r="Q30" s="128">
        <v>863.87</v>
      </c>
      <c r="R30" s="124">
        <v>0</v>
      </c>
      <c r="T30" s="128">
        <v>86.39</v>
      </c>
      <c r="U30" s="128">
        <v>0</v>
      </c>
      <c r="W30" s="128">
        <v>0</v>
      </c>
      <c r="X30" s="128">
        <v>0</v>
      </c>
    </row>
    <row r="31" spans="2:24" s="125" customFormat="1" ht="11.25" customHeight="1">
      <c r="B31" s="117">
        <v>18</v>
      </c>
      <c r="C31" s="118" t="s">
        <v>170</v>
      </c>
      <c r="D31" s="119"/>
      <c r="E31" s="120"/>
      <c r="F31" s="120">
        <v>633</v>
      </c>
      <c r="G31" s="121">
        <v>0</v>
      </c>
      <c r="H31" s="122">
        <v>38.54</v>
      </c>
      <c r="I31" s="123"/>
      <c r="J31" s="124"/>
      <c r="L31" s="126"/>
      <c r="M31" s="127">
        <v>0</v>
      </c>
      <c r="N31" s="128"/>
      <c r="O31" s="128">
        <v>0</v>
      </c>
      <c r="Q31" s="128">
        <v>405.06</v>
      </c>
      <c r="R31" s="124">
        <v>0</v>
      </c>
      <c r="T31" s="128">
        <v>40.51</v>
      </c>
      <c r="U31" s="128">
        <v>0</v>
      </c>
      <c r="W31" s="128">
        <v>0</v>
      </c>
      <c r="X31" s="128">
        <v>0</v>
      </c>
    </row>
    <row r="32" spans="2:24" s="125" customFormat="1" ht="11.25" customHeight="1">
      <c r="B32" s="117">
        <v>19</v>
      </c>
      <c r="C32" s="118" t="s">
        <v>171</v>
      </c>
      <c r="D32" s="119"/>
      <c r="E32" s="120"/>
      <c r="F32" s="120">
        <v>467</v>
      </c>
      <c r="G32" s="121">
        <v>0</v>
      </c>
      <c r="H32" s="122">
        <v>28.44</v>
      </c>
      <c r="I32" s="123"/>
      <c r="J32" s="124"/>
      <c r="L32" s="126"/>
      <c r="M32" s="127">
        <v>0</v>
      </c>
      <c r="N32" s="128"/>
      <c r="O32" s="128">
        <v>0</v>
      </c>
      <c r="Q32" s="128">
        <v>298.83</v>
      </c>
      <c r="R32" s="124">
        <v>0</v>
      </c>
      <c r="T32" s="128">
        <v>29.88</v>
      </c>
      <c r="U32" s="128">
        <v>0</v>
      </c>
      <c r="W32" s="128">
        <v>0</v>
      </c>
      <c r="X32" s="128">
        <v>0</v>
      </c>
    </row>
    <row r="33" spans="2:32" s="125" customFormat="1" ht="11.25" customHeight="1">
      <c r="B33" s="117">
        <v>20</v>
      </c>
      <c r="C33" s="118" t="s">
        <v>172</v>
      </c>
      <c r="D33" s="119"/>
      <c r="E33" s="120"/>
      <c r="F33" s="120">
        <v>467</v>
      </c>
      <c r="G33" s="121">
        <v>0</v>
      </c>
      <c r="H33" s="122">
        <v>28.44</v>
      </c>
      <c r="I33" s="123"/>
      <c r="J33" s="124"/>
      <c r="L33" s="126"/>
      <c r="M33" s="127">
        <v>0</v>
      </c>
      <c r="N33" s="128"/>
      <c r="O33" s="128">
        <v>0</v>
      </c>
      <c r="Q33" s="128">
        <v>298.83</v>
      </c>
      <c r="R33" s="124">
        <v>0</v>
      </c>
      <c r="T33" s="128">
        <v>29.88</v>
      </c>
      <c r="U33" s="128">
        <v>0</v>
      </c>
      <c r="W33" s="128">
        <v>0</v>
      </c>
      <c r="X33" s="128">
        <v>0</v>
      </c>
    </row>
    <row r="34" spans="2:32" s="125" customFormat="1" ht="11.25" customHeight="1">
      <c r="B34" s="117">
        <v>21</v>
      </c>
      <c r="C34" s="118" t="s">
        <v>173</v>
      </c>
      <c r="D34" s="119"/>
      <c r="E34" s="120"/>
      <c r="F34" s="120">
        <v>301</v>
      </c>
      <c r="G34" s="121">
        <v>0</v>
      </c>
      <c r="H34" s="122">
        <v>18.329999999999998</v>
      </c>
      <c r="I34" s="123"/>
      <c r="J34" s="124"/>
      <c r="L34" s="126"/>
      <c r="M34" s="127">
        <v>0</v>
      </c>
      <c r="N34" s="128"/>
      <c r="O34" s="128">
        <v>0</v>
      </c>
      <c r="Q34" s="128">
        <v>192.61</v>
      </c>
      <c r="R34" s="124">
        <v>0</v>
      </c>
      <c r="T34" s="128">
        <v>19.260000000000002</v>
      </c>
      <c r="U34" s="128">
        <v>0</v>
      </c>
      <c r="W34" s="128">
        <v>0</v>
      </c>
      <c r="X34" s="128">
        <v>0</v>
      </c>
    </row>
    <row r="35" spans="2:32" s="125" customFormat="1" ht="11.25" customHeight="1">
      <c r="B35" s="117">
        <v>22</v>
      </c>
      <c r="C35" s="118" t="s">
        <v>174</v>
      </c>
      <c r="D35" s="119"/>
      <c r="E35" s="120"/>
      <c r="F35" s="120">
        <v>760</v>
      </c>
      <c r="G35" s="121">
        <v>0</v>
      </c>
      <c r="H35" s="122">
        <v>46.28</v>
      </c>
      <c r="I35" s="123"/>
      <c r="J35" s="124"/>
      <c r="L35" s="126"/>
      <c r="M35" s="127">
        <v>0</v>
      </c>
      <c r="N35" s="128"/>
      <c r="O35" s="128">
        <v>0</v>
      </c>
      <c r="Q35" s="128">
        <v>486.32</v>
      </c>
      <c r="R35" s="124">
        <v>0</v>
      </c>
      <c r="T35" s="128">
        <v>48.63</v>
      </c>
      <c r="U35" s="128">
        <v>0</v>
      </c>
      <c r="W35" s="128">
        <v>0</v>
      </c>
      <c r="X35" s="128">
        <v>0</v>
      </c>
    </row>
    <row r="36" spans="2:32" s="125" customFormat="1" ht="11.25" customHeight="1">
      <c r="B36" s="117">
        <v>23</v>
      </c>
      <c r="C36" s="118" t="s">
        <v>175</v>
      </c>
      <c r="D36" s="119"/>
      <c r="E36" s="120"/>
      <c r="F36" s="120">
        <v>540</v>
      </c>
      <c r="G36" s="121">
        <v>0</v>
      </c>
      <c r="H36" s="122">
        <v>32.880000000000003</v>
      </c>
      <c r="I36" s="123"/>
      <c r="J36" s="124"/>
      <c r="L36" s="126"/>
      <c r="M36" s="127">
        <v>0</v>
      </c>
      <c r="N36" s="128"/>
      <c r="O36" s="128">
        <v>0</v>
      </c>
      <c r="Q36" s="128">
        <v>345.55</v>
      </c>
      <c r="R36" s="124">
        <v>0</v>
      </c>
      <c r="T36" s="128">
        <v>34.549999999999997</v>
      </c>
      <c r="U36" s="128">
        <v>0</v>
      </c>
      <c r="W36" s="128">
        <v>0</v>
      </c>
      <c r="X36" s="128">
        <v>0</v>
      </c>
    </row>
    <row r="37" spans="2:32" s="125" customFormat="1" ht="11.25" customHeight="1">
      <c r="B37" s="117">
        <v>24</v>
      </c>
      <c r="C37" s="118" t="s">
        <v>176</v>
      </c>
      <c r="D37" s="119"/>
      <c r="E37" s="120"/>
      <c r="F37" s="120">
        <v>768</v>
      </c>
      <c r="G37" s="121">
        <v>0</v>
      </c>
      <c r="H37" s="122">
        <v>46.76</v>
      </c>
      <c r="I37" s="123"/>
      <c r="J37" s="124"/>
      <c r="L37" s="126"/>
      <c r="M37" s="127">
        <v>0</v>
      </c>
      <c r="N37" s="128"/>
      <c r="O37" s="128">
        <v>0</v>
      </c>
      <c r="Q37" s="128">
        <v>491.44</v>
      </c>
      <c r="R37" s="124">
        <v>0</v>
      </c>
      <c r="T37" s="128">
        <v>49.14</v>
      </c>
      <c r="U37" s="128">
        <v>0</v>
      </c>
      <c r="W37" s="128">
        <v>0</v>
      </c>
      <c r="X37" s="128">
        <v>0</v>
      </c>
    </row>
    <row r="38" spans="2:32" s="125" customFormat="1" ht="11.25" customHeight="1">
      <c r="B38" s="117">
        <v>25</v>
      </c>
      <c r="C38" s="118" t="s">
        <v>177</v>
      </c>
      <c r="D38" s="119"/>
      <c r="E38" s="120"/>
      <c r="F38" s="120">
        <v>363</v>
      </c>
      <c r="G38" s="121">
        <v>0</v>
      </c>
      <c r="H38" s="122">
        <v>22.1</v>
      </c>
      <c r="I38" s="123"/>
      <c r="J38" s="124"/>
      <c r="L38" s="126"/>
      <c r="M38" s="127">
        <v>0</v>
      </c>
      <c r="N38" s="128"/>
      <c r="O38" s="128">
        <v>0</v>
      </c>
      <c r="Q38" s="128">
        <v>232.28</v>
      </c>
      <c r="R38" s="124">
        <v>0</v>
      </c>
      <c r="T38" s="128">
        <v>23.23</v>
      </c>
      <c r="U38" s="128">
        <v>0</v>
      </c>
      <c r="W38" s="128">
        <v>0</v>
      </c>
      <c r="X38" s="128">
        <v>0</v>
      </c>
    </row>
    <row r="39" spans="2:32" s="125" customFormat="1" ht="11.25" customHeight="1">
      <c r="B39" s="117">
        <v>26</v>
      </c>
      <c r="C39" s="118" t="s">
        <v>178</v>
      </c>
      <c r="D39" s="119"/>
      <c r="E39" s="120"/>
      <c r="F39" s="120">
        <v>602</v>
      </c>
      <c r="G39" s="121">
        <v>0</v>
      </c>
      <c r="H39" s="122">
        <v>36.659999999999997</v>
      </c>
      <c r="I39" s="123"/>
      <c r="J39" s="124"/>
      <c r="L39" s="126"/>
      <c r="M39" s="127">
        <v>0</v>
      </c>
      <c r="N39" s="128"/>
      <c r="O39" s="128">
        <v>0</v>
      </c>
      <c r="Q39" s="128">
        <v>385.22</v>
      </c>
      <c r="R39" s="124">
        <v>0</v>
      </c>
      <c r="T39" s="128">
        <v>38.520000000000003</v>
      </c>
      <c r="U39" s="128">
        <v>0</v>
      </c>
      <c r="W39" s="128">
        <v>0</v>
      </c>
      <c r="X39" s="128">
        <v>0</v>
      </c>
    </row>
    <row r="40" spans="2:32" s="125" customFormat="1" ht="11.25" customHeight="1">
      <c r="B40" s="117">
        <v>27</v>
      </c>
      <c r="C40" s="118" t="s">
        <v>179</v>
      </c>
      <c r="D40" s="119"/>
      <c r="E40" s="120"/>
      <c r="F40" s="120">
        <v>104</v>
      </c>
      <c r="G40" s="121">
        <v>0</v>
      </c>
      <c r="H40" s="122">
        <v>6.33</v>
      </c>
      <c r="I40" s="123"/>
      <c r="J40" s="124"/>
      <c r="L40" s="126"/>
      <c r="M40" s="127">
        <v>0</v>
      </c>
      <c r="N40" s="128"/>
      <c r="O40" s="128">
        <v>0</v>
      </c>
      <c r="Q40" s="128">
        <v>66.55</v>
      </c>
      <c r="R40" s="124">
        <v>0</v>
      </c>
      <c r="T40" s="128">
        <v>6.65</v>
      </c>
      <c r="U40" s="128">
        <v>0</v>
      </c>
      <c r="W40" s="128">
        <v>0</v>
      </c>
      <c r="X40" s="128">
        <v>0</v>
      </c>
    </row>
    <row r="41" spans="2:32" s="125" customFormat="1" ht="11.25" customHeight="1">
      <c r="B41" s="117">
        <v>28</v>
      </c>
      <c r="C41" s="118" t="s">
        <v>180</v>
      </c>
      <c r="D41" s="119"/>
      <c r="E41" s="120"/>
      <c r="F41" s="120">
        <v>104</v>
      </c>
      <c r="G41" s="121">
        <v>0</v>
      </c>
      <c r="H41" s="122">
        <v>6.33</v>
      </c>
      <c r="I41" s="123"/>
      <c r="J41" s="124"/>
      <c r="L41" s="126"/>
      <c r="M41" s="127">
        <v>0</v>
      </c>
      <c r="N41" s="128"/>
      <c r="O41" s="128">
        <v>0</v>
      </c>
      <c r="Q41" s="128">
        <v>66.55</v>
      </c>
      <c r="R41" s="124">
        <v>0</v>
      </c>
      <c r="T41" s="128">
        <v>6.65</v>
      </c>
      <c r="U41" s="128">
        <v>0</v>
      </c>
      <c r="W41" s="128">
        <v>0</v>
      </c>
      <c r="X41" s="128">
        <v>0</v>
      </c>
    </row>
    <row r="42" spans="2:32" s="125" customFormat="1" ht="11.25" customHeight="1">
      <c r="B42" s="117">
        <v>29</v>
      </c>
      <c r="C42" s="118" t="s">
        <v>181</v>
      </c>
      <c r="D42" s="119"/>
      <c r="E42" s="120"/>
      <c r="F42" s="120">
        <v>176</v>
      </c>
      <c r="G42" s="121">
        <v>0</v>
      </c>
      <c r="H42" s="122">
        <v>10.72</v>
      </c>
      <c r="I42" s="123"/>
      <c r="J42" s="124"/>
      <c r="L42" s="126"/>
      <c r="M42" s="127">
        <v>0</v>
      </c>
      <c r="N42" s="128"/>
      <c r="O42" s="128">
        <v>0</v>
      </c>
      <c r="Q42" s="128">
        <v>112.62</v>
      </c>
      <c r="R42" s="124">
        <v>0</v>
      </c>
      <c r="T42" s="128">
        <v>11.26</v>
      </c>
      <c r="U42" s="128">
        <v>0</v>
      </c>
      <c r="W42" s="128">
        <v>0</v>
      </c>
      <c r="X42" s="128">
        <v>0</v>
      </c>
    </row>
    <row r="43" spans="2:32" s="125" customFormat="1" ht="11.25" customHeight="1">
      <c r="B43" s="117">
        <v>30</v>
      </c>
      <c r="C43" s="118" t="s">
        <v>182</v>
      </c>
      <c r="D43" s="119"/>
      <c r="E43" s="120"/>
      <c r="F43" s="120">
        <v>80</v>
      </c>
      <c r="G43" s="121">
        <v>0</v>
      </c>
      <c r="H43" s="122">
        <v>4.87</v>
      </c>
      <c r="I43" s="123"/>
      <c r="J43" s="124"/>
      <c r="L43" s="126"/>
      <c r="M43" s="127">
        <v>0</v>
      </c>
      <c r="N43" s="128"/>
      <c r="O43" s="128">
        <v>0</v>
      </c>
      <c r="Q43" s="128">
        <v>51.19</v>
      </c>
      <c r="R43" s="124">
        <v>0</v>
      </c>
      <c r="T43" s="128">
        <v>5.12</v>
      </c>
      <c r="U43" s="128">
        <v>0</v>
      </c>
      <c r="W43" s="128">
        <v>0</v>
      </c>
      <c r="X43" s="128">
        <v>0</v>
      </c>
    </row>
    <row r="44" spans="2:32" s="125" customFormat="1" ht="11.25" customHeight="1">
      <c r="B44" s="117">
        <v>31</v>
      </c>
      <c r="C44" s="118" t="s">
        <v>183</v>
      </c>
      <c r="D44" s="119"/>
      <c r="E44" s="120"/>
      <c r="F44" s="120">
        <v>625</v>
      </c>
      <c r="G44" s="121">
        <v>0</v>
      </c>
      <c r="H44" s="122">
        <v>0.63</v>
      </c>
      <c r="I44" s="123" t="s">
        <v>184</v>
      </c>
      <c r="J44" s="135"/>
      <c r="L44" s="126"/>
      <c r="M44" s="127">
        <v>0</v>
      </c>
      <c r="N44" s="128"/>
      <c r="O44" s="128">
        <v>0</v>
      </c>
      <c r="Q44" s="128">
        <v>6.67</v>
      </c>
      <c r="R44" s="124">
        <v>0</v>
      </c>
      <c r="T44" s="128">
        <v>0.67</v>
      </c>
      <c r="U44" s="128">
        <v>0</v>
      </c>
      <c r="W44" s="128">
        <v>0</v>
      </c>
      <c r="X44" s="128">
        <v>0</v>
      </c>
    </row>
    <row r="45" spans="2:32" s="125" customFormat="1" ht="11.25" customHeight="1">
      <c r="B45" s="117">
        <v>32</v>
      </c>
      <c r="C45" s="118" t="s">
        <v>185</v>
      </c>
      <c r="D45" s="119"/>
      <c r="E45" s="120"/>
      <c r="F45" s="120">
        <v>625</v>
      </c>
      <c r="G45" s="121">
        <v>0</v>
      </c>
      <c r="H45" s="122">
        <v>0.63</v>
      </c>
      <c r="I45" s="123" t="s">
        <v>184</v>
      </c>
      <c r="L45" s="126"/>
      <c r="M45" s="127">
        <v>0</v>
      </c>
      <c r="N45" s="128"/>
      <c r="O45" s="128">
        <v>0</v>
      </c>
      <c r="Q45" s="128">
        <v>6.67</v>
      </c>
      <c r="R45" s="124">
        <v>0</v>
      </c>
      <c r="T45" s="128">
        <v>0.67</v>
      </c>
      <c r="U45" s="128">
        <v>0</v>
      </c>
      <c r="W45" s="128">
        <v>0</v>
      </c>
      <c r="X45" s="128">
        <v>0</v>
      </c>
    </row>
    <row r="46" spans="2:32" s="125" customFormat="1" ht="11.25" customHeight="1">
      <c r="B46" s="117">
        <v>33</v>
      </c>
      <c r="C46" s="118" t="s">
        <v>186</v>
      </c>
      <c r="D46" s="119"/>
      <c r="E46" s="120"/>
      <c r="F46" s="133">
        <v>625</v>
      </c>
      <c r="G46" s="121">
        <v>0</v>
      </c>
      <c r="H46" s="122">
        <v>0.63</v>
      </c>
      <c r="I46" s="123" t="s">
        <v>184</v>
      </c>
      <c r="L46" s="126"/>
      <c r="M46" s="127">
        <v>0</v>
      </c>
      <c r="N46" s="128"/>
      <c r="O46" s="128">
        <v>0</v>
      </c>
      <c r="Q46" s="128">
        <v>6.67</v>
      </c>
      <c r="R46" s="124">
        <v>0</v>
      </c>
      <c r="T46" s="128">
        <v>0.67</v>
      </c>
      <c r="U46" s="128">
        <v>0</v>
      </c>
      <c r="W46" s="128">
        <v>0</v>
      </c>
      <c r="X46" s="128">
        <v>0</v>
      </c>
    </row>
    <row r="47" spans="2:32" ht="15">
      <c r="B47" s="103">
        <v>0</v>
      </c>
      <c r="C47" s="136" t="s">
        <v>187</v>
      </c>
      <c r="D47" s="97"/>
      <c r="E47" s="97"/>
      <c r="F47" s="97"/>
      <c r="G47" s="137"/>
      <c r="H47" s="97"/>
      <c r="I47" s="97"/>
      <c r="L47" s="103" t="s">
        <v>188</v>
      </c>
      <c r="M47" s="138">
        <v>0</v>
      </c>
      <c r="N47" s="138">
        <v>0</v>
      </c>
      <c r="O47" s="113">
        <v>0</v>
      </c>
      <c r="P47" s="100"/>
      <c r="Q47" s="100"/>
      <c r="R47" s="113">
        <v>0</v>
      </c>
      <c r="S47" s="100"/>
      <c r="T47" s="100"/>
      <c r="U47" s="113">
        <v>0</v>
      </c>
      <c r="V47" s="100"/>
      <c r="W47" s="113"/>
      <c r="X47" s="113">
        <v>0</v>
      </c>
      <c r="Y47" s="100"/>
      <c r="Z47" s="100"/>
      <c r="AA47" s="100"/>
      <c r="AB47" s="100"/>
      <c r="AC47" s="100"/>
      <c r="AD47" s="100"/>
      <c r="AE47" s="100"/>
      <c r="AF47" s="100"/>
    </row>
    <row r="48" spans="2:32" ht="15">
      <c r="L48" s="103"/>
      <c r="M48" s="100"/>
      <c r="N48" s="100"/>
      <c r="O48" s="100"/>
      <c r="P48" s="100"/>
      <c r="Q48" s="100"/>
      <c r="R48" s="113">
        <v>0</v>
      </c>
      <c r="S48" s="100"/>
      <c r="T48" s="100"/>
      <c r="U48" s="113">
        <v>0</v>
      </c>
      <c r="V48" s="100"/>
      <c r="W48" s="113"/>
      <c r="X48" s="113">
        <v>0</v>
      </c>
      <c r="Y48" s="100"/>
      <c r="Z48" s="100"/>
      <c r="AA48" s="100"/>
      <c r="AB48" s="100"/>
      <c r="AC48" s="100"/>
      <c r="AD48" s="100"/>
      <c r="AE48" s="100"/>
      <c r="AF48" s="100"/>
    </row>
    <row r="49" spans="2:32" ht="15">
      <c r="D49" s="139"/>
      <c r="L49" s="103"/>
      <c r="M49" s="100"/>
      <c r="N49" s="100"/>
      <c r="O49" s="100"/>
      <c r="P49" s="100"/>
      <c r="Q49" s="100"/>
      <c r="R49" s="109" t="e">
        <v>#DIV/0!</v>
      </c>
      <c r="S49" s="100"/>
      <c r="T49" s="100"/>
      <c r="U49" s="109" t="e">
        <v>#DIV/0!</v>
      </c>
      <c r="V49" s="100"/>
      <c r="W49" s="140"/>
      <c r="X49" s="141" t="e">
        <v>#DIV/0!</v>
      </c>
      <c r="Y49" s="100"/>
      <c r="Z49" s="100"/>
      <c r="AA49" s="100"/>
      <c r="AB49" s="100"/>
      <c r="AC49" s="100"/>
      <c r="AD49" s="100"/>
      <c r="AE49" s="100"/>
      <c r="AF49" s="100"/>
    </row>
    <row r="50" spans="2:32" ht="15">
      <c r="C50" s="329" t="s">
        <v>189</v>
      </c>
      <c r="D50" s="329"/>
      <c r="E50" s="330" t="s">
        <v>127</v>
      </c>
      <c r="F50" s="330"/>
      <c r="G50" s="330"/>
      <c r="H50" s="142"/>
      <c r="I50" s="142"/>
      <c r="K50" s="143"/>
      <c r="L50" s="103"/>
      <c r="M50" s="100"/>
      <c r="N50" s="138"/>
      <c r="O50" s="100"/>
      <c r="P50" s="100"/>
      <c r="Q50" s="100"/>
      <c r="R50" s="100"/>
      <c r="S50" s="100"/>
      <c r="T50" s="100"/>
      <c r="U50" s="100"/>
      <c r="V50" s="100"/>
      <c r="W50" s="100"/>
      <c r="X50" s="100"/>
      <c r="Y50" s="100"/>
      <c r="Z50" s="100"/>
      <c r="AA50" s="100"/>
      <c r="AB50" s="100"/>
      <c r="AC50" s="100"/>
      <c r="AD50" s="100"/>
      <c r="AE50" s="100"/>
      <c r="AF50" s="100"/>
    </row>
    <row r="51" spans="2:32" ht="15">
      <c r="C51" s="329" t="s">
        <v>190</v>
      </c>
      <c r="D51" s="329"/>
      <c r="E51" s="331" t="s">
        <v>128</v>
      </c>
      <c r="F51" s="330"/>
      <c r="G51" s="330"/>
      <c r="H51" s="142"/>
      <c r="I51" s="142"/>
      <c r="L51" s="103"/>
      <c r="M51" s="100"/>
      <c r="N51" s="100"/>
      <c r="O51" s="100"/>
      <c r="P51" s="100"/>
      <c r="Q51" s="100"/>
      <c r="R51" s="100"/>
      <c r="S51" s="100"/>
      <c r="T51" s="100"/>
      <c r="U51" s="100"/>
      <c r="V51" s="100"/>
      <c r="W51" s="100"/>
      <c r="X51" s="100"/>
      <c r="Y51" s="100"/>
      <c r="Z51" s="100"/>
      <c r="AA51" s="100"/>
      <c r="AB51" s="100"/>
      <c r="AC51" s="100"/>
      <c r="AD51" s="100"/>
      <c r="AE51" s="100"/>
      <c r="AF51" s="100"/>
    </row>
    <row r="52" spans="2:32" ht="15">
      <c r="D52" s="144"/>
      <c r="E52" s="139"/>
      <c r="J52" s="100"/>
      <c r="L52" s="103"/>
      <c r="M52" s="100"/>
      <c r="N52" s="100"/>
      <c r="O52" s="100"/>
      <c r="P52" s="100"/>
      <c r="Q52" s="100"/>
      <c r="R52" s="100"/>
      <c r="S52" s="100"/>
      <c r="T52" s="100"/>
      <c r="U52" s="100"/>
      <c r="V52" s="100"/>
      <c r="W52" s="100"/>
      <c r="X52" s="100"/>
      <c r="Y52" s="100"/>
      <c r="Z52" s="100"/>
      <c r="AA52" s="100"/>
      <c r="AB52" s="100"/>
      <c r="AC52" s="100"/>
      <c r="AD52" s="100"/>
      <c r="AE52" s="100"/>
      <c r="AF52" s="100"/>
    </row>
    <row r="53" spans="2:32" ht="15">
      <c r="H53" s="100"/>
      <c r="L53" s="103"/>
      <c r="M53" s="100"/>
      <c r="P53" s="100"/>
      <c r="S53" s="100"/>
      <c r="T53" s="100"/>
      <c r="U53" s="100"/>
      <c r="V53" s="100"/>
      <c r="W53" s="100"/>
      <c r="X53" s="100"/>
      <c r="Y53" s="100"/>
      <c r="Z53" s="100"/>
      <c r="AA53" s="100"/>
      <c r="AB53" s="100"/>
      <c r="AC53" s="100"/>
      <c r="AD53" s="100"/>
      <c r="AE53" s="100"/>
      <c r="AF53" s="100"/>
    </row>
    <row r="54" spans="2:32" ht="27" customHeight="1">
      <c r="C54" s="145"/>
      <c r="E54" s="332" t="s">
        <v>191</v>
      </c>
      <c r="F54" s="332"/>
      <c r="H54" s="326" t="s">
        <v>17</v>
      </c>
      <c r="I54" s="333"/>
      <c r="K54" s="326" t="s">
        <v>192</v>
      </c>
      <c r="L54" s="326"/>
      <c r="M54" s="100"/>
      <c r="N54" s="146" t="s">
        <v>193</v>
      </c>
      <c r="P54" s="100"/>
      <c r="S54" s="147"/>
      <c r="T54" s="100"/>
      <c r="U54" s="100"/>
      <c r="V54" s="100"/>
      <c r="W54" s="100"/>
      <c r="X54" s="100"/>
      <c r="Y54" s="100"/>
      <c r="Z54" s="100"/>
      <c r="AA54" s="100"/>
      <c r="AB54" s="100"/>
      <c r="AC54" s="100"/>
      <c r="AD54" s="100"/>
      <c r="AE54" s="100"/>
      <c r="AF54" s="100"/>
    </row>
    <row r="55" spans="2:32" ht="15">
      <c r="B55" s="100" t="s">
        <v>194</v>
      </c>
      <c r="C55" s="148">
        <v>45870</v>
      </c>
      <c r="E55" s="100" t="s">
        <v>195</v>
      </c>
      <c r="F55" s="149">
        <v>6.3990000000000005E-2</v>
      </c>
      <c r="H55" s="327">
        <v>6.3990000000000005E-2</v>
      </c>
      <c r="I55" s="327"/>
      <c r="K55" s="100" t="s">
        <v>196</v>
      </c>
      <c r="L55" s="150"/>
      <c r="M55" s="100"/>
      <c r="N55" s="151"/>
      <c r="P55" s="100"/>
      <c r="S55" s="100"/>
      <c r="T55" s="100"/>
      <c r="U55" s="100"/>
      <c r="V55" s="100"/>
      <c r="W55" s="100"/>
      <c r="X55" s="100"/>
      <c r="Y55" s="100"/>
      <c r="Z55" s="100"/>
      <c r="AA55" s="100"/>
      <c r="AB55" s="100"/>
      <c r="AC55" s="100"/>
      <c r="AD55" s="100"/>
      <c r="AE55" s="100"/>
      <c r="AF55" s="100"/>
    </row>
    <row r="56" spans="2:32" ht="15">
      <c r="B56" s="100" t="s">
        <v>197</v>
      </c>
      <c r="C56" s="148">
        <v>46142</v>
      </c>
      <c r="D56" s="100"/>
      <c r="E56" s="100" t="s">
        <v>198</v>
      </c>
      <c r="F56" s="152">
        <v>5.89</v>
      </c>
      <c r="H56" s="328">
        <v>5.89</v>
      </c>
      <c r="I56" s="328"/>
      <c r="K56" s="100" t="s">
        <v>199</v>
      </c>
      <c r="L56" s="153"/>
      <c r="M56" s="100"/>
      <c r="N56" s="154"/>
      <c r="P56" s="100"/>
      <c r="S56" s="100"/>
      <c r="T56" s="100"/>
      <c r="U56" s="100"/>
      <c r="V56" s="100"/>
      <c r="W56" s="100"/>
      <c r="X56" s="100"/>
      <c r="Y56" s="100"/>
      <c r="Z56" s="100"/>
      <c r="AA56" s="100"/>
      <c r="AB56" s="100"/>
      <c r="AC56" s="100"/>
      <c r="AD56" s="100"/>
      <c r="AE56" s="100"/>
      <c r="AF56" s="100"/>
    </row>
    <row r="57" spans="2:32" ht="15">
      <c r="C57" s="100"/>
      <c r="E57" s="100" t="s">
        <v>200</v>
      </c>
      <c r="F57" s="152">
        <v>7.34</v>
      </c>
      <c r="H57" s="328">
        <v>7.34</v>
      </c>
      <c r="I57" s="328"/>
      <c r="J57" s="155"/>
      <c r="K57" s="100" t="s">
        <v>200</v>
      </c>
      <c r="L57" s="153"/>
      <c r="M57" s="100"/>
      <c r="N57" s="154"/>
      <c r="O57" s="100"/>
      <c r="P57" s="100"/>
      <c r="Q57" s="100"/>
      <c r="R57" s="100"/>
      <c r="S57" s="100"/>
      <c r="T57" s="100"/>
      <c r="U57" s="100"/>
    </row>
    <row r="58" spans="2:32" ht="15">
      <c r="C58" s="100"/>
      <c r="D58" s="100"/>
      <c r="E58" s="100"/>
      <c r="F58" s="100"/>
      <c r="I58" s="155"/>
      <c r="J58" s="155"/>
      <c r="K58" s="100"/>
      <c r="L58" s="100"/>
      <c r="M58" s="100"/>
      <c r="N58" s="100"/>
      <c r="O58" s="100"/>
      <c r="P58" s="100"/>
      <c r="Q58" s="100"/>
      <c r="R58" s="100"/>
      <c r="S58" s="100"/>
      <c r="T58" s="100"/>
      <c r="U58" s="100"/>
    </row>
    <row r="59" spans="2:32" ht="15">
      <c r="B59" s="100" t="s">
        <v>201</v>
      </c>
      <c r="C59" s="100"/>
      <c r="D59" s="100"/>
      <c r="E59" s="156" t="s">
        <v>202</v>
      </c>
      <c r="F59" s="100"/>
      <c r="G59" s="100"/>
      <c r="H59" s="100"/>
      <c r="I59" s="100"/>
      <c r="J59" s="100"/>
      <c r="K59" s="100"/>
      <c r="L59" s="100"/>
      <c r="M59" s="100"/>
      <c r="N59" s="100"/>
      <c r="O59" s="100"/>
      <c r="P59" s="100"/>
      <c r="Q59" s="100"/>
      <c r="R59" s="100"/>
      <c r="S59" s="100"/>
      <c r="T59" s="100"/>
      <c r="U59" s="100"/>
    </row>
    <row r="60" spans="2:32" ht="15">
      <c r="B60" s="100" t="s">
        <v>203</v>
      </c>
      <c r="C60" s="100"/>
      <c r="D60" s="100"/>
      <c r="E60" s="100"/>
      <c r="F60" s="100"/>
      <c r="G60" s="100"/>
      <c r="H60" s="100"/>
      <c r="I60" s="100"/>
      <c r="J60" s="100"/>
      <c r="K60" s="100"/>
      <c r="L60" s="100"/>
      <c r="M60" s="100"/>
      <c r="N60" s="100"/>
      <c r="O60" s="100"/>
      <c r="P60" s="100"/>
      <c r="Q60" s="100"/>
      <c r="R60" s="100"/>
      <c r="S60" s="100"/>
      <c r="T60" s="100"/>
      <c r="U60" s="100"/>
    </row>
    <row r="61" spans="2:32" ht="15">
      <c r="C61" s="100"/>
      <c r="D61" s="100"/>
      <c r="E61" s="100"/>
      <c r="F61" s="100"/>
      <c r="G61" s="100"/>
      <c r="H61" s="100"/>
      <c r="I61" s="100"/>
      <c r="J61" s="8"/>
      <c r="K61" s="100"/>
      <c r="L61" s="100"/>
      <c r="M61" s="100"/>
      <c r="N61" s="100"/>
      <c r="O61" s="100"/>
      <c r="P61" s="100"/>
      <c r="Q61" s="100"/>
      <c r="R61" s="100"/>
      <c r="S61" s="100"/>
      <c r="T61" s="100"/>
      <c r="U61" s="100"/>
    </row>
    <row r="62" spans="2:32" ht="15">
      <c r="C62" s="100"/>
      <c r="D62" s="100"/>
      <c r="E62" s="100"/>
      <c r="F62" s="100"/>
      <c r="G62" s="100"/>
      <c r="H62" s="100"/>
      <c r="I62" s="100"/>
      <c r="J62" s="8"/>
      <c r="K62" s="100"/>
      <c r="L62" s="100"/>
      <c r="M62" s="100"/>
      <c r="N62" s="100"/>
      <c r="O62" s="100"/>
      <c r="P62" s="100"/>
      <c r="Q62" s="100"/>
      <c r="R62" s="100"/>
      <c r="S62" s="100"/>
      <c r="T62" s="100"/>
      <c r="U62" s="100"/>
    </row>
    <row r="63" spans="2:32" ht="15">
      <c r="B63" s="100" t="s">
        <v>204</v>
      </c>
      <c r="C63" s="100"/>
      <c r="D63" s="100"/>
      <c r="E63" s="100"/>
      <c r="F63" s="157"/>
      <c r="G63" s="100"/>
      <c r="H63" s="100"/>
      <c r="I63" s="100"/>
      <c r="J63" s="8"/>
      <c r="K63" s="100"/>
      <c r="L63" s="100"/>
      <c r="M63" s="100"/>
      <c r="N63" s="280" t="s">
        <v>205</v>
      </c>
      <c r="O63" s="100"/>
      <c r="P63" s="100"/>
      <c r="Q63" s="100"/>
      <c r="R63" s="100"/>
      <c r="S63" s="100"/>
      <c r="T63" s="100"/>
      <c r="U63" s="100"/>
    </row>
    <row r="64" spans="2:32" ht="15">
      <c r="B64" s="100" t="s">
        <v>194</v>
      </c>
      <c r="C64" s="158">
        <v>46143</v>
      </c>
      <c r="D64" s="100"/>
      <c r="E64" s="100" t="s">
        <v>195</v>
      </c>
      <c r="F64" s="159">
        <v>6.3409999999999994E-2</v>
      </c>
      <c r="G64" s="100"/>
      <c r="H64" s="100"/>
      <c r="I64" s="160"/>
      <c r="J64" s="8"/>
      <c r="K64" s="100"/>
      <c r="L64" s="100"/>
      <c r="M64" s="100"/>
      <c r="N64" s="161"/>
      <c r="O64" s="100"/>
      <c r="P64" s="100"/>
      <c r="Q64" s="100"/>
      <c r="R64" s="100"/>
      <c r="S64" s="100"/>
      <c r="T64" s="100"/>
      <c r="U64" s="100"/>
    </row>
    <row r="65" spans="2:21" ht="15">
      <c r="B65" s="100"/>
      <c r="C65" s="158"/>
      <c r="D65" s="100"/>
      <c r="E65" s="100" t="s">
        <v>14</v>
      </c>
      <c r="F65" s="162">
        <v>5.83</v>
      </c>
      <c r="G65" s="100"/>
      <c r="H65" s="100"/>
      <c r="I65" s="162"/>
      <c r="J65" s="8"/>
      <c r="K65" s="100"/>
      <c r="L65" s="100"/>
      <c r="M65" s="100"/>
      <c r="N65" s="163"/>
      <c r="O65" s="100"/>
      <c r="P65" s="100"/>
      <c r="Q65" s="100"/>
      <c r="R65" s="100"/>
      <c r="S65" s="100"/>
      <c r="T65" s="100"/>
      <c r="U65" s="100"/>
    </row>
    <row r="66" spans="2:21" ht="15">
      <c r="C66" s="100"/>
      <c r="D66" s="100"/>
      <c r="E66" s="100" t="s">
        <v>15</v>
      </c>
      <c r="F66" s="162">
        <v>7.27</v>
      </c>
      <c r="G66" s="100"/>
      <c r="H66" s="100"/>
      <c r="I66" s="162"/>
      <c r="J66" s="8"/>
      <c r="K66" s="100"/>
      <c r="L66" s="100"/>
      <c r="M66" s="100"/>
      <c r="N66" s="163"/>
      <c r="O66" s="100"/>
      <c r="P66" s="100"/>
      <c r="Q66" s="100"/>
      <c r="R66" s="100"/>
      <c r="S66" s="100"/>
      <c r="T66" s="100"/>
      <c r="U66" s="100"/>
    </row>
    <row r="67" spans="2:21" ht="15">
      <c r="C67" s="100"/>
      <c r="D67" s="100"/>
      <c r="E67" s="100"/>
      <c r="F67" s="100"/>
      <c r="G67" s="100"/>
      <c r="H67" s="100"/>
      <c r="I67" s="100"/>
      <c r="J67" s="100"/>
      <c r="K67" s="100"/>
      <c r="L67" s="100"/>
      <c r="M67" s="100"/>
      <c r="N67" s="100"/>
      <c r="O67" s="100"/>
      <c r="P67" s="100"/>
      <c r="Q67" s="100"/>
      <c r="R67" s="100"/>
      <c r="S67" s="100"/>
      <c r="T67" s="100"/>
      <c r="U67" s="100"/>
    </row>
    <row r="68" spans="2:21" ht="15">
      <c r="C68" s="100"/>
      <c r="D68" s="100"/>
      <c r="E68" s="100"/>
      <c r="F68" s="100"/>
      <c r="G68" s="100"/>
      <c r="H68" s="100"/>
      <c r="I68" s="100"/>
      <c r="J68" s="100"/>
      <c r="K68" s="100"/>
      <c r="L68" s="100"/>
      <c r="M68" s="100"/>
      <c r="N68" s="100"/>
      <c r="O68" s="100"/>
      <c r="P68" s="100"/>
      <c r="Q68" s="100"/>
      <c r="R68" s="100"/>
      <c r="S68" s="100"/>
      <c r="T68" s="100"/>
      <c r="U68" s="100"/>
    </row>
    <row r="69" spans="2:21" ht="15">
      <c r="C69" s="100"/>
      <c r="D69" s="100"/>
      <c r="E69" s="100"/>
      <c r="F69" s="100"/>
      <c r="G69" s="100"/>
      <c r="H69" s="100"/>
      <c r="I69" s="100"/>
      <c r="J69" s="100"/>
      <c r="K69" s="100"/>
      <c r="L69" s="100"/>
      <c r="M69" s="100"/>
      <c r="N69" s="100"/>
      <c r="O69" s="100"/>
      <c r="P69" s="100"/>
      <c r="Q69" s="100"/>
      <c r="R69" s="100"/>
      <c r="S69" s="100"/>
      <c r="T69" s="100"/>
      <c r="U69" s="100"/>
    </row>
    <row r="70" spans="2:21" ht="15">
      <c r="C70" s="100"/>
      <c r="D70" s="100"/>
      <c r="E70" s="100"/>
      <c r="F70" s="100"/>
      <c r="G70" s="100"/>
      <c r="H70" s="100"/>
      <c r="I70" s="100"/>
      <c r="J70" s="100"/>
      <c r="K70" s="100"/>
      <c r="L70" s="100"/>
      <c r="M70" s="100"/>
      <c r="N70" s="100"/>
      <c r="O70" s="100"/>
      <c r="P70" s="100"/>
      <c r="Q70" s="100"/>
      <c r="R70" s="100"/>
      <c r="S70" s="100"/>
      <c r="T70" s="100"/>
      <c r="U70" s="100"/>
    </row>
    <row r="71" spans="2:21" ht="15">
      <c r="C71" s="100"/>
      <c r="D71" s="100"/>
      <c r="E71" s="100"/>
      <c r="F71" s="100"/>
      <c r="G71" s="100"/>
      <c r="H71" s="100"/>
      <c r="I71" s="100"/>
      <c r="J71" s="100"/>
      <c r="K71" s="100"/>
      <c r="L71" s="100"/>
      <c r="M71" s="100"/>
      <c r="N71" s="100"/>
      <c r="O71" s="100"/>
      <c r="P71" s="100"/>
      <c r="Q71" s="100"/>
      <c r="R71" s="100"/>
      <c r="S71" s="100"/>
      <c r="T71" s="100"/>
      <c r="U71" s="100"/>
    </row>
    <row r="72" spans="2:21" ht="15">
      <c r="C72" s="100"/>
      <c r="D72" s="100"/>
      <c r="E72" s="100"/>
      <c r="F72" s="100"/>
      <c r="G72" s="100"/>
      <c r="H72" s="100"/>
      <c r="I72" s="100"/>
      <c r="J72" s="100"/>
      <c r="K72" s="100"/>
      <c r="L72" s="100"/>
      <c r="M72" s="100"/>
      <c r="N72" s="100"/>
      <c r="O72" s="100"/>
      <c r="P72" s="100"/>
      <c r="Q72" s="100"/>
      <c r="R72" s="100"/>
      <c r="S72" s="100"/>
      <c r="T72" s="100"/>
      <c r="U72" s="100"/>
    </row>
    <row r="73" spans="2:21" ht="15">
      <c r="C73" s="100"/>
      <c r="D73" s="100"/>
      <c r="E73" s="100"/>
      <c r="F73" s="100"/>
      <c r="G73" s="100"/>
      <c r="H73" s="100"/>
      <c r="I73" s="100"/>
      <c r="J73" s="100"/>
      <c r="K73" s="100"/>
      <c r="L73" s="100"/>
      <c r="M73" s="100"/>
      <c r="N73" s="100"/>
      <c r="O73" s="100"/>
      <c r="P73" s="100"/>
      <c r="Q73" s="100"/>
      <c r="R73" s="100"/>
      <c r="S73" s="100"/>
      <c r="T73" s="100"/>
      <c r="U73" s="100"/>
    </row>
    <row r="74" spans="2:21" ht="15">
      <c r="C74" s="100"/>
      <c r="D74" s="100"/>
      <c r="E74" s="100"/>
      <c r="F74" s="100"/>
      <c r="G74" s="100"/>
      <c r="H74" s="100"/>
      <c r="I74" s="100"/>
      <c r="J74" s="100"/>
      <c r="K74" s="100"/>
      <c r="L74" s="100"/>
      <c r="M74" s="100"/>
      <c r="N74" s="100"/>
      <c r="O74" s="100"/>
      <c r="P74" s="100"/>
      <c r="Q74" s="100"/>
      <c r="R74" s="100"/>
      <c r="S74" s="100"/>
      <c r="T74" s="100"/>
      <c r="U74" s="100"/>
    </row>
    <row r="75" spans="2:21" ht="15">
      <c r="C75" s="100"/>
      <c r="D75" s="100"/>
      <c r="E75" s="100"/>
      <c r="F75" s="100"/>
      <c r="G75" s="100"/>
      <c r="H75" s="100"/>
      <c r="I75" s="100"/>
      <c r="J75" s="100"/>
      <c r="K75" s="100"/>
      <c r="L75" s="100"/>
      <c r="M75" s="100"/>
      <c r="N75" s="100"/>
      <c r="O75" s="100"/>
      <c r="P75" s="100"/>
      <c r="Q75" s="100"/>
      <c r="R75" s="100"/>
      <c r="S75" s="100"/>
      <c r="T75" s="100"/>
      <c r="U75" s="100"/>
    </row>
    <row r="76" spans="2:21" ht="15">
      <c r="C76" s="100"/>
      <c r="D76" s="100"/>
      <c r="E76" s="100"/>
      <c r="F76" s="100"/>
      <c r="G76" s="100"/>
      <c r="H76" s="100"/>
      <c r="I76" s="100"/>
      <c r="J76" s="100"/>
      <c r="K76" s="100"/>
      <c r="L76" s="100"/>
      <c r="M76" s="100"/>
      <c r="N76" s="100"/>
      <c r="O76" s="100"/>
      <c r="P76" s="100"/>
      <c r="Q76" s="100"/>
      <c r="R76" s="100"/>
      <c r="S76" s="100"/>
      <c r="T76" s="100"/>
      <c r="U76" s="100"/>
    </row>
    <row r="77" spans="2:21" ht="15">
      <c r="C77" s="100"/>
      <c r="D77" s="100"/>
      <c r="E77" s="100"/>
      <c r="F77" s="100"/>
      <c r="G77" s="100"/>
      <c r="H77" s="100"/>
      <c r="I77" s="100"/>
      <c r="J77" s="100"/>
      <c r="K77" s="100"/>
      <c r="L77" s="100"/>
      <c r="M77" s="100"/>
      <c r="N77" s="100"/>
      <c r="O77" s="100"/>
      <c r="P77" s="100"/>
      <c r="Q77" s="100"/>
      <c r="R77" s="100"/>
      <c r="S77" s="100"/>
      <c r="T77" s="100"/>
      <c r="U77" s="100"/>
    </row>
    <row r="78" spans="2:21" ht="15">
      <c r="C78" s="100"/>
      <c r="D78" s="100"/>
      <c r="E78" s="100"/>
      <c r="F78" s="100"/>
      <c r="G78" s="100"/>
      <c r="H78" s="100"/>
      <c r="I78" s="100"/>
      <c r="J78" s="100"/>
      <c r="K78" s="100"/>
      <c r="L78" s="100"/>
      <c r="M78" s="100"/>
      <c r="N78" s="100"/>
      <c r="O78" s="100"/>
      <c r="P78" s="100"/>
      <c r="Q78" s="100"/>
      <c r="R78" s="100"/>
      <c r="S78" s="100"/>
      <c r="T78" s="100"/>
      <c r="U78" s="100"/>
    </row>
    <row r="79" spans="2:21" ht="15">
      <c r="C79" s="100"/>
      <c r="D79" s="100"/>
      <c r="E79" s="100"/>
      <c r="F79" s="100"/>
      <c r="G79" s="100"/>
      <c r="H79" s="100"/>
      <c r="I79" s="100"/>
      <c r="J79" s="100"/>
      <c r="K79" s="100"/>
      <c r="L79" s="100"/>
      <c r="M79" s="100"/>
      <c r="N79" s="100"/>
      <c r="O79" s="100"/>
      <c r="P79" s="100"/>
      <c r="Q79" s="100"/>
      <c r="R79" s="100"/>
      <c r="S79" s="100"/>
      <c r="T79" s="100"/>
      <c r="U79" s="100"/>
    </row>
    <row r="80" spans="2:21" ht="15">
      <c r="C80" s="100"/>
      <c r="D80" s="100"/>
      <c r="E80" s="100"/>
      <c r="F80" s="100"/>
      <c r="G80" s="100"/>
      <c r="H80" s="100"/>
      <c r="I80" s="100"/>
      <c r="J80" s="100"/>
      <c r="K80" s="100"/>
      <c r="L80" s="100"/>
      <c r="M80" s="100"/>
      <c r="N80" s="100"/>
      <c r="O80" s="100"/>
      <c r="P80" s="100"/>
      <c r="Q80" s="100"/>
      <c r="R80" s="100"/>
      <c r="S80" s="100"/>
      <c r="T80" s="100"/>
      <c r="U80" s="100"/>
    </row>
    <row r="81" spans="13:32" ht="15">
      <c r="M81" s="100"/>
      <c r="N81" s="100"/>
      <c r="O81" s="100"/>
      <c r="P81" s="100"/>
      <c r="Q81" s="100"/>
      <c r="R81" s="100"/>
      <c r="S81" s="100"/>
      <c r="T81" s="100"/>
      <c r="U81" s="100"/>
      <c r="V81" s="100"/>
      <c r="W81" s="100"/>
      <c r="X81" s="100"/>
      <c r="Y81" s="100"/>
      <c r="Z81" s="100"/>
      <c r="AA81" s="100"/>
      <c r="AB81" s="100"/>
      <c r="AC81" s="100"/>
      <c r="AD81" s="100"/>
      <c r="AE81" s="100"/>
      <c r="AF81" s="100"/>
    </row>
    <row r="82" spans="13:32" ht="15">
      <c r="M82" s="100"/>
      <c r="N82" s="100"/>
      <c r="O82" s="100"/>
      <c r="P82" s="100"/>
      <c r="Q82" s="100"/>
      <c r="R82" s="100"/>
      <c r="S82" s="100"/>
      <c r="T82" s="100"/>
      <c r="U82" s="100"/>
      <c r="V82" s="100"/>
      <c r="W82" s="100"/>
      <c r="X82" s="100"/>
      <c r="Y82" s="100"/>
      <c r="Z82" s="100"/>
      <c r="AA82" s="100"/>
      <c r="AB82" s="100"/>
      <c r="AC82" s="100"/>
      <c r="AD82" s="100"/>
      <c r="AE82" s="100"/>
      <c r="AF82" s="100"/>
    </row>
    <row r="83" spans="13:32" ht="15">
      <c r="M83" s="100"/>
      <c r="N83" s="100"/>
      <c r="O83" s="100"/>
      <c r="P83" s="100"/>
      <c r="Q83" s="100"/>
      <c r="R83" s="100"/>
      <c r="S83" s="100"/>
      <c r="T83" s="100"/>
      <c r="U83" s="100"/>
      <c r="V83" s="100"/>
      <c r="W83" s="100"/>
      <c r="X83" s="100"/>
      <c r="Y83" s="100"/>
      <c r="Z83" s="100"/>
      <c r="AA83" s="100"/>
      <c r="AB83" s="100"/>
      <c r="AC83" s="100"/>
      <c r="AD83" s="100"/>
      <c r="AE83" s="100"/>
      <c r="AF83" s="100"/>
    </row>
    <row r="84" spans="13:32" ht="15">
      <c r="M84" s="100"/>
      <c r="N84" s="100"/>
      <c r="O84" s="100"/>
      <c r="P84" s="100"/>
      <c r="Q84" s="100"/>
      <c r="R84" s="100"/>
      <c r="S84" s="100"/>
      <c r="T84" s="100"/>
      <c r="U84" s="100"/>
      <c r="V84" s="100"/>
      <c r="W84" s="100"/>
      <c r="X84" s="100"/>
      <c r="Y84" s="100"/>
      <c r="Z84" s="100"/>
      <c r="AA84" s="100"/>
      <c r="AB84" s="100"/>
      <c r="AC84" s="100"/>
      <c r="AD84" s="100"/>
      <c r="AE84" s="100"/>
      <c r="AF84" s="100"/>
    </row>
    <row r="85" spans="13:32" ht="15">
      <c r="M85" s="100"/>
      <c r="N85" s="100"/>
      <c r="O85" s="100"/>
      <c r="P85" s="100"/>
      <c r="Q85" s="100"/>
      <c r="R85" s="100"/>
      <c r="S85" s="100"/>
      <c r="T85" s="100"/>
      <c r="U85" s="100"/>
      <c r="V85" s="100"/>
      <c r="W85" s="100"/>
      <c r="X85" s="100"/>
      <c r="Y85" s="100"/>
      <c r="Z85" s="100"/>
      <c r="AA85" s="100"/>
      <c r="AB85" s="100"/>
      <c r="AC85" s="100"/>
      <c r="AD85" s="100"/>
      <c r="AE85" s="100"/>
      <c r="AF85" s="100"/>
    </row>
    <row r="86" spans="13:32" ht="15">
      <c r="M86" s="100"/>
      <c r="N86" s="100"/>
      <c r="O86" s="100"/>
      <c r="P86" s="100"/>
      <c r="Q86" s="100"/>
      <c r="R86" s="100"/>
      <c r="S86" s="100"/>
      <c r="T86" s="100"/>
      <c r="U86" s="100"/>
      <c r="V86" s="100"/>
      <c r="W86" s="100"/>
      <c r="X86" s="100"/>
      <c r="Y86" s="100"/>
      <c r="Z86" s="100"/>
      <c r="AA86" s="100"/>
      <c r="AB86" s="100"/>
      <c r="AC86" s="100"/>
      <c r="AD86" s="100"/>
      <c r="AE86" s="100"/>
      <c r="AF86" s="100"/>
    </row>
    <row r="87" spans="13:32" ht="15">
      <c r="M87" s="100"/>
      <c r="N87" s="100"/>
      <c r="O87" s="100"/>
      <c r="P87" s="100"/>
      <c r="Q87" s="100"/>
      <c r="R87" s="100"/>
      <c r="S87" s="100"/>
      <c r="T87" s="100"/>
      <c r="U87" s="100"/>
      <c r="V87" s="100"/>
      <c r="W87" s="100"/>
      <c r="X87" s="100"/>
      <c r="Y87" s="100"/>
      <c r="Z87" s="100"/>
      <c r="AA87" s="100"/>
      <c r="AB87" s="100"/>
      <c r="AC87" s="100"/>
      <c r="AD87" s="100"/>
      <c r="AE87" s="100"/>
      <c r="AF87" s="100"/>
    </row>
    <row r="88" spans="13:32" ht="15">
      <c r="M88" s="100"/>
      <c r="N88" s="100"/>
      <c r="O88" s="100"/>
      <c r="P88" s="100"/>
      <c r="Q88" s="100"/>
      <c r="R88" s="100"/>
      <c r="S88" s="100"/>
      <c r="T88" s="100"/>
      <c r="U88" s="100"/>
      <c r="V88" s="100"/>
      <c r="W88" s="100"/>
      <c r="X88" s="100"/>
      <c r="Y88" s="100"/>
      <c r="Z88" s="100"/>
      <c r="AA88" s="100"/>
      <c r="AB88" s="100"/>
      <c r="AC88" s="100"/>
      <c r="AD88" s="100"/>
      <c r="AE88" s="100"/>
      <c r="AF88" s="100"/>
    </row>
    <row r="89" spans="13:32" ht="15">
      <c r="M89" s="100"/>
      <c r="N89" s="100"/>
      <c r="O89" s="100"/>
      <c r="P89" s="100"/>
      <c r="Q89" s="100"/>
      <c r="R89" s="100"/>
      <c r="S89" s="100"/>
      <c r="T89" s="100"/>
      <c r="U89" s="100"/>
      <c r="V89" s="100"/>
      <c r="W89" s="100"/>
      <c r="X89" s="100"/>
      <c r="Y89" s="100"/>
      <c r="Z89" s="100"/>
      <c r="AA89" s="100"/>
      <c r="AB89" s="100"/>
      <c r="AC89" s="100"/>
      <c r="AD89" s="100"/>
      <c r="AE89" s="100"/>
      <c r="AF89" s="100"/>
    </row>
    <row r="90" spans="13:32" ht="15">
      <c r="M90" s="100"/>
      <c r="N90" s="100"/>
      <c r="O90" s="100"/>
      <c r="P90" s="100"/>
      <c r="Q90" s="100"/>
      <c r="R90" s="100"/>
      <c r="S90" s="100"/>
      <c r="T90" s="100"/>
      <c r="U90" s="100"/>
      <c r="V90" s="100"/>
      <c r="W90" s="100"/>
      <c r="X90" s="100"/>
      <c r="Y90" s="100"/>
      <c r="Z90" s="100"/>
      <c r="AA90" s="100"/>
      <c r="AB90" s="100"/>
      <c r="AC90" s="100"/>
      <c r="AD90" s="100"/>
      <c r="AE90" s="100"/>
      <c r="AF90" s="100"/>
    </row>
    <row r="91" spans="13:32" ht="15">
      <c r="M91" s="100"/>
      <c r="N91" s="100"/>
      <c r="O91" s="100"/>
      <c r="P91" s="100"/>
      <c r="Q91" s="100"/>
      <c r="R91" s="100"/>
      <c r="S91" s="100"/>
      <c r="T91" s="100"/>
      <c r="U91" s="100"/>
      <c r="V91" s="100"/>
      <c r="W91" s="100"/>
      <c r="X91" s="100"/>
      <c r="Y91" s="100"/>
      <c r="Z91" s="100"/>
      <c r="AA91" s="100"/>
      <c r="AB91" s="100"/>
      <c r="AC91" s="100"/>
      <c r="AD91" s="100"/>
      <c r="AE91" s="100"/>
      <c r="AF91" s="100"/>
    </row>
    <row r="92" spans="13:32" ht="15">
      <c r="M92" s="100"/>
      <c r="N92" s="100"/>
      <c r="O92" s="100"/>
      <c r="P92" s="100"/>
      <c r="Q92" s="100"/>
      <c r="R92" s="100"/>
      <c r="S92" s="100"/>
      <c r="T92" s="100"/>
      <c r="U92" s="100"/>
      <c r="V92" s="100"/>
      <c r="W92" s="100"/>
      <c r="X92" s="100"/>
      <c r="Y92" s="100"/>
      <c r="Z92" s="100"/>
      <c r="AA92" s="100"/>
      <c r="AB92" s="100"/>
      <c r="AC92" s="100"/>
      <c r="AD92" s="100"/>
      <c r="AE92" s="100"/>
      <c r="AF92" s="100"/>
    </row>
    <row r="93" spans="13:32" ht="15">
      <c r="M93" s="100"/>
      <c r="N93" s="100"/>
      <c r="O93" s="100"/>
      <c r="P93" s="100"/>
      <c r="Q93" s="100"/>
      <c r="R93" s="100"/>
      <c r="S93" s="100"/>
      <c r="T93" s="100"/>
      <c r="U93" s="100"/>
      <c r="V93" s="100"/>
      <c r="W93" s="100"/>
      <c r="X93" s="100"/>
      <c r="Y93" s="100"/>
      <c r="Z93" s="100"/>
      <c r="AA93" s="100"/>
      <c r="AB93" s="100"/>
      <c r="AC93" s="100"/>
      <c r="AD93" s="100"/>
      <c r="AE93" s="100"/>
      <c r="AF93" s="100"/>
    </row>
    <row r="94" spans="13:32" ht="15">
      <c r="M94" s="100"/>
      <c r="N94" s="100"/>
      <c r="O94" s="100"/>
      <c r="P94" s="100"/>
      <c r="Q94" s="100"/>
      <c r="R94" s="100"/>
      <c r="S94" s="100"/>
      <c r="T94" s="100"/>
      <c r="U94" s="100"/>
      <c r="V94" s="100"/>
      <c r="W94" s="100"/>
      <c r="X94" s="100"/>
      <c r="Y94" s="100"/>
      <c r="Z94" s="100"/>
      <c r="AA94" s="100"/>
      <c r="AB94" s="100"/>
      <c r="AC94" s="100"/>
      <c r="AD94" s="100"/>
      <c r="AE94" s="100"/>
      <c r="AF94" s="100"/>
    </row>
    <row r="95" spans="13:32" ht="15">
      <c r="M95" s="100"/>
      <c r="N95" s="100"/>
      <c r="O95" s="100"/>
      <c r="P95" s="100"/>
      <c r="Q95" s="100"/>
      <c r="R95" s="100"/>
      <c r="S95" s="100"/>
      <c r="T95" s="100"/>
      <c r="U95" s="100"/>
      <c r="V95" s="100"/>
      <c r="W95" s="100"/>
      <c r="X95" s="100"/>
      <c r="Y95" s="100"/>
      <c r="Z95" s="100"/>
      <c r="AA95" s="100"/>
      <c r="AB95" s="100"/>
      <c r="AC95" s="100"/>
      <c r="AD95" s="100"/>
      <c r="AE95" s="100"/>
      <c r="AF95" s="100"/>
    </row>
    <row r="96" spans="13:32" ht="15">
      <c r="M96" s="100"/>
      <c r="N96" s="100"/>
      <c r="O96" s="100"/>
      <c r="P96" s="100"/>
      <c r="Q96" s="100"/>
      <c r="R96" s="100"/>
      <c r="S96" s="100"/>
      <c r="T96" s="100"/>
      <c r="U96" s="100"/>
      <c r="V96" s="100"/>
      <c r="W96" s="100"/>
      <c r="X96" s="100"/>
      <c r="Y96" s="100"/>
      <c r="Z96" s="100"/>
      <c r="AA96" s="100"/>
      <c r="AB96" s="100"/>
      <c r="AC96" s="100"/>
      <c r="AD96" s="100"/>
      <c r="AE96" s="100"/>
      <c r="AF96" s="100"/>
    </row>
    <row r="97" spans="13:32" ht="15">
      <c r="M97" s="100"/>
      <c r="N97" s="100"/>
      <c r="O97" s="100"/>
      <c r="P97" s="100"/>
      <c r="Q97" s="100"/>
      <c r="R97" s="100"/>
      <c r="S97" s="100"/>
      <c r="T97" s="100"/>
      <c r="U97" s="100"/>
      <c r="V97" s="100"/>
      <c r="W97" s="100"/>
      <c r="X97" s="100"/>
      <c r="Y97" s="100"/>
      <c r="Z97" s="100"/>
      <c r="AA97" s="100"/>
      <c r="AB97" s="100"/>
      <c r="AC97" s="100"/>
      <c r="AD97" s="100"/>
      <c r="AE97" s="100"/>
      <c r="AF97" s="100"/>
    </row>
    <row r="98" spans="13:32" ht="15">
      <c r="M98" s="100"/>
      <c r="N98" s="100"/>
      <c r="O98" s="100"/>
      <c r="P98" s="100"/>
      <c r="Q98" s="100"/>
      <c r="R98" s="100"/>
      <c r="S98" s="100"/>
      <c r="T98" s="100"/>
      <c r="U98" s="100"/>
      <c r="V98" s="100"/>
      <c r="W98" s="100"/>
      <c r="X98" s="100"/>
      <c r="Y98" s="100"/>
      <c r="Z98" s="100"/>
      <c r="AA98" s="100"/>
      <c r="AB98" s="100"/>
      <c r="AC98" s="100"/>
      <c r="AD98" s="100"/>
      <c r="AE98" s="100"/>
      <c r="AF98" s="100"/>
    </row>
    <row r="99" spans="13:32" ht="15">
      <c r="M99" s="100"/>
      <c r="N99" s="100"/>
      <c r="O99" s="100"/>
      <c r="P99" s="100"/>
      <c r="Q99" s="100"/>
      <c r="R99" s="100"/>
      <c r="S99" s="100"/>
      <c r="T99" s="100"/>
      <c r="U99" s="100"/>
      <c r="V99" s="100"/>
      <c r="W99" s="100"/>
      <c r="X99" s="100"/>
      <c r="Y99" s="100"/>
      <c r="Z99" s="100"/>
      <c r="AA99" s="100"/>
      <c r="AB99" s="100"/>
      <c r="AC99" s="100"/>
      <c r="AD99" s="100"/>
      <c r="AE99" s="100"/>
      <c r="AF99" s="100"/>
    </row>
    <row r="100" spans="13:32" ht="15">
      <c r="M100" s="100"/>
      <c r="N100" s="100"/>
      <c r="O100" s="100"/>
      <c r="P100" s="100"/>
      <c r="Q100" s="100"/>
      <c r="R100" s="100"/>
      <c r="S100" s="100"/>
      <c r="T100" s="100"/>
      <c r="U100" s="100"/>
      <c r="V100" s="100"/>
      <c r="W100" s="100"/>
      <c r="X100" s="100"/>
      <c r="Y100" s="100"/>
      <c r="Z100" s="100"/>
      <c r="AA100" s="100"/>
      <c r="AB100" s="100"/>
      <c r="AC100" s="100"/>
      <c r="AD100" s="100"/>
      <c r="AE100" s="100"/>
      <c r="AF100" s="100"/>
    </row>
    <row r="101" spans="13:32" ht="15">
      <c r="M101" s="100"/>
      <c r="N101" s="100"/>
      <c r="O101" s="100"/>
      <c r="P101" s="100"/>
      <c r="Q101" s="100"/>
      <c r="R101" s="100"/>
      <c r="S101" s="100"/>
      <c r="T101" s="100"/>
      <c r="U101" s="100"/>
      <c r="V101" s="100"/>
      <c r="W101" s="100"/>
      <c r="X101" s="100"/>
      <c r="Y101" s="100"/>
      <c r="Z101" s="100"/>
      <c r="AA101" s="100"/>
      <c r="AB101" s="100"/>
      <c r="AC101" s="100"/>
      <c r="AD101" s="100"/>
      <c r="AE101" s="100"/>
      <c r="AF101" s="100"/>
    </row>
    <row r="102" spans="13:32" ht="15">
      <c r="M102" s="100"/>
      <c r="N102" s="100"/>
      <c r="O102" s="100"/>
      <c r="P102" s="100"/>
      <c r="Q102" s="100"/>
      <c r="R102" s="100"/>
      <c r="S102" s="100"/>
      <c r="T102" s="100"/>
      <c r="U102" s="100"/>
      <c r="V102" s="100"/>
      <c r="W102" s="100"/>
      <c r="X102" s="100"/>
      <c r="Y102" s="100"/>
      <c r="Z102" s="100"/>
      <c r="AA102" s="100"/>
      <c r="AB102" s="100"/>
      <c r="AC102" s="100"/>
      <c r="AD102" s="100"/>
      <c r="AE102" s="100"/>
      <c r="AF102" s="100"/>
    </row>
    <row r="103" spans="13:32" ht="15">
      <c r="M103" s="100"/>
      <c r="N103" s="100"/>
      <c r="O103" s="100"/>
      <c r="P103" s="100"/>
      <c r="Q103" s="100"/>
      <c r="R103" s="100"/>
      <c r="S103" s="100"/>
      <c r="T103" s="100"/>
      <c r="U103" s="100"/>
      <c r="V103" s="100"/>
      <c r="W103" s="100"/>
      <c r="X103" s="100"/>
      <c r="Y103" s="100"/>
      <c r="Z103" s="100"/>
      <c r="AA103" s="100"/>
      <c r="AB103" s="100"/>
      <c r="AC103" s="100"/>
      <c r="AD103" s="100"/>
      <c r="AE103" s="100"/>
      <c r="AF103" s="100"/>
    </row>
    <row r="104" spans="13:32" ht="15">
      <c r="M104" s="100"/>
      <c r="N104" s="100"/>
      <c r="O104" s="100"/>
      <c r="P104" s="100"/>
      <c r="Q104" s="100"/>
      <c r="R104" s="100"/>
      <c r="S104" s="100"/>
      <c r="T104" s="100"/>
      <c r="U104" s="100"/>
      <c r="V104" s="100"/>
      <c r="W104" s="100"/>
      <c r="X104" s="100"/>
      <c r="Y104" s="100"/>
      <c r="Z104" s="100"/>
      <c r="AA104" s="100"/>
      <c r="AB104" s="100"/>
      <c r="AC104" s="100"/>
      <c r="AD104" s="100"/>
      <c r="AE104" s="100"/>
      <c r="AF104" s="100"/>
    </row>
    <row r="105" spans="13:32" ht="15">
      <c r="M105" s="100"/>
      <c r="N105" s="100"/>
      <c r="O105" s="100"/>
      <c r="P105" s="100"/>
      <c r="Q105" s="100"/>
      <c r="R105" s="100"/>
      <c r="S105" s="100"/>
      <c r="T105" s="100"/>
      <c r="U105" s="100"/>
      <c r="V105" s="100"/>
      <c r="W105" s="100"/>
      <c r="X105" s="100"/>
      <c r="Y105" s="100"/>
      <c r="Z105" s="100"/>
      <c r="AA105" s="100"/>
      <c r="AB105" s="100"/>
      <c r="AC105" s="100"/>
      <c r="AD105" s="100"/>
      <c r="AE105" s="100"/>
      <c r="AF105" s="100"/>
    </row>
    <row r="106" spans="13:32" ht="15">
      <c r="M106" s="100"/>
      <c r="N106" s="100"/>
      <c r="O106" s="100"/>
      <c r="P106" s="100"/>
      <c r="Q106" s="100"/>
      <c r="R106" s="100"/>
      <c r="S106" s="100"/>
      <c r="T106" s="100"/>
      <c r="U106" s="100"/>
      <c r="V106" s="100"/>
      <c r="W106" s="100"/>
      <c r="X106" s="100"/>
      <c r="Y106" s="100"/>
      <c r="Z106" s="100"/>
      <c r="AA106" s="100"/>
      <c r="AB106" s="100"/>
      <c r="AC106" s="100"/>
      <c r="AD106" s="100"/>
      <c r="AE106" s="100"/>
      <c r="AF106" s="100"/>
    </row>
    <row r="107" spans="13:32" ht="15">
      <c r="M107" s="100"/>
      <c r="N107" s="100"/>
      <c r="O107" s="100"/>
      <c r="P107" s="100"/>
      <c r="Q107" s="100"/>
      <c r="R107" s="100"/>
      <c r="S107" s="100"/>
      <c r="T107" s="100"/>
      <c r="U107" s="100"/>
      <c r="V107" s="100"/>
      <c r="W107" s="100"/>
      <c r="X107" s="100"/>
      <c r="Y107" s="100"/>
      <c r="Z107" s="100"/>
      <c r="AA107" s="100"/>
      <c r="AB107" s="100"/>
      <c r="AC107" s="100"/>
      <c r="AD107" s="100"/>
      <c r="AE107" s="100"/>
      <c r="AF107" s="100"/>
    </row>
    <row r="108" spans="13:32" ht="15">
      <c r="M108" s="100"/>
      <c r="N108" s="100"/>
      <c r="O108" s="100"/>
      <c r="P108" s="100"/>
      <c r="Q108" s="100"/>
      <c r="R108" s="100"/>
      <c r="S108" s="100"/>
      <c r="T108" s="100"/>
      <c r="U108" s="100"/>
      <c r="V108" s="100"/>
      <c r="W108" s="100"/>
      <c r="X108" s="100"/>
      <c r="Y108" s="100"/>
      <c r="Z108" s="100"/>
      <c r="AA108" s="100"/>
      <c r="AB108" s="100"/>
      <c r="AC108" s="100"/>
      <c r="AD108" s="100"/>
      <c r="AE108" s="100"/>
      <c r="AF108" s="100"/>
    </row>
    <row r="109" spans="13:32" ht="15">
      <c r="M109" s="100"/>
      <c r="N109" s="100"/>
      <c r="O109" s="100"/>
      <c r="P109" s="100"/>
      <c r="Q109" s="100"/>
      <c r="R109" s="100"/>
      <c r="S109" s="100"/>
      <c r="T109" s="100"/>
      <c r="U109" s="100"/>
      <c r="V109" s="100"/>
      <c r="W109" s="100"/>
      <c r="X109" s="100"/>
      <c r="Y109" s="100"/>
      <c r="Z109" s="100"/>
      <c r="AA109" s="100"/>
      <c r="AB109" s="100"/>
      <c r="AC109" s="100"/>
      <c r="AD109" s="100"/>
      <c r="AE109" s="100"/>
      <c r="AF109" s="100"/>
    </row>
    <row r="110" spans="13:32" ht="15">
      <c r="M110" s="100"/>
      <c r="N110" s="100"/>
      <c r="O110" s="100"/>
      <c r="P110" s="100"/>
      <c r="Q110" s="100"/>
      <c r="R110" s="100"/>
      <c r="S110" s="100"/>
      <c r="T110" s="100"/>
      <c r="U110" s="100"/>
      <c r="V110" s="100"/>
      <c r="W110" s="100"/>
      <c r="X110" s="100"/>
      <c r="Y110" s="100"/>
      <c r="Z110" s="100"/>
      <c r="AA110" s="100"/>
      <c r="AB110" s="100"/>
      <c r="AC110" s="100"/>
      <c r="AD110" s="100"/>
      <c r="AE110" s="100"/>
      <c r="AF110" s="100"/>
    </row>
    <row r="111" spans="13:32" ht="15">
      <c r="M111" s="100"/>
      <c r="N111" s="100"/>
      <c r="O111" s="100"/>
      <c r="P111" s="100"/>
      <c r="Q111" s="100"/>
      <c r="R111" s="100"/>
      <c r="S111" s="100"/>
      <c r="T111" s="100"/>
      <c r="U111" s="100"/>
      <c r="V111" s="100"/>
      <c r="W111" s="100"/>
      <c r="X111" s="100"/>
      <c r="Y111" s="100"/>
      <c r="Z111" s="100"/>
      <c r="AA111" s="100"/>
      <c r="AB111" s="100"/>
      <c r="AC111" s="100"/>
      <c r="AD111" s="100"/>
      <c r="AE111" s="100"/>
      <c r="AF111" s="100"/>
    </row>
    <row r="112" spans="13:32" ht="15">
      <c r="M112" s="100"/>
      <c r="N112" s="100"/>
      <c r="O112" s="100"/>
      <c r="P112" s="100"/>
      <c r="Q112" s="100"/>
      <c r="R112" s="100"/>
      <c r="S112" s="100"/>
      <c r="T112" s="100"/>
      <c r="U112" s="100"/>
      <c r="V112" s="100"/>
      <c r="W112" s="100"/>
      <c r="X112" s="100"/>
      <c r="Y112" s="100"/>
      <c r="Z112" s="100"/>
      <c r="AA112" s="100"/>
      <c r="AB112" s="100"/>
      <c r="AC112" s="100"/>
      <c r="AD112" s="100"/>
      <c r="AE112" s="100"/>
      <c r="AF112" s="100"/>
    </row>
    <row r="113" spans="13:32" ht="15">
      <c r="M113" s="100"/>
      <c r="N113" s="100"/>
      <c r="O113" s="100"/>
      <c r="P113" s="100"/>
      <c r="Q113" s="100"/>
      <c r="R113" s="100"/>
      <c r="S113" s="100"/>
      <c r="T113" s="100"/>
      <c r="U113" s="100"/>
      <c r="V113" s="100"/>
      <c r="W113" s="100"/>
      <c r="X113" s="100"/>
      <c r="Y113" s="100"/>
      <c r="Z113" s="100"/>
      <c r="AA113" s="100"/>
      <c r="AB113" s="100"/>
      <c r="AC113" s="100"/>
      <c r="AD113" s="100"/>
      <c r="AE113" s="100"/>
      <c r="AF113" s="100"/>
    </row>
    <row r="114" spans="13:32" ht="15">
      <c r="M114" s="100"/>
      <c r="N114" s="100"/>
      <c r="O114" s="100"/>
      <c r="P114" s="100"/>
      <c r="Q114" s="100"/>
      <c r="R114" s="100"/>
      <c r="S114" s="100"/>
      <c r="T114" s="100"/>
      <c r="U114" s="100"/>
      <c r="V114" s="100"/>
      <c r="W114" s="100"/>
      <c r="X114" s="100"/>
      <c r="Y114" s="100"/>
      <c r="Z114" s="100"/>
      <c r="AA114" s="100"/>
      <c r="AB114" s="100"/>
      <c r="AC114" s="100"/>
      <c r="AD114" s="100"/>
      <c r="AE114" s="100"/>
      <c r="AF114" s="100"/>
    </row>
    <row r="115" spans="13:32" ht="15">
      <c r="M115" s="100"/>
      <c r="N115" s="100"/>
      <c r="O115" s="100"/>
      <c r="P115" s="100"/>
      <c r="Q115" s="100"/>
      <c r="R115" s="100"/>
      <c r="S115" s="100"/>
      <c r="T115" s="100"/>
      <c r="U115" s="100"/>
      <c r="V115" s="100"/>
      <c r="W115" s="100"/>
      <c r="X115" s="100"/>
      <c r="Y115" s="100"/>
      <c r="Z115" s="100"/>
      <c r="AA115" s="100"/>
      <c r="AB115" s="100"/>
      <c r="AC115" s="100"/>
      <c r="AD115" s="100"/>
      <c r="AE115" s="100"/>
      <c r="AF115" s="100"/>
    </row>
    <row r="116" spans="13:32" ht="15">
      <c r="M116" s="100"/>
      <c r="N116" s="100"/>
      <c r="O116" s="100"/>
      <c r="P116" s="100"/>
      <c r="Q116" s="100"/>
      <c r="R116" s="100"/>
      <c r="S116" s="100"/>
      <c r="T116" s="100"/>
      <c r="U116" s="100"/>
      <c r="V116" s="100"/>
      <c r="W116" s="100"/>
      <c r="X116" s="100"/>
      <c r="Y116" s="100"/>
      <c r="Z116" s="100"/>
      <c r="AA116" s="100"/>
      <c r="AB116" s="100"/>
      <c r="AC116" s="100"/>
      <c r="AD116" s="100"/>
      <c r="AE116" s="100"/>
      <c r="AF116" s="100"/>
    </row>
    <row r="117" spans="13:32" ht="15">
      <c r="M117" s="100"/>
      <c r="N117" s="100"/>
      <c r="O117" s="100"/>
      <c r="P117" s="100"/>
      <c r="Q117" s="100"/>
      <c r="R117" s="100"/>
      <c r="S117" s="100"/>
      <c r="T117" s="100"/>
      <c r="U117" s="100"/>
      <c r="V117" s="100"/>
      <c r="W117" s="100"/>
      <c r="X117" s="100"/>
      <c r="Y117" s="100"/>
      <c r="Z117" s="100"/>
      <c r="AA117" s="100"/>
      <c r="AB117" s="100"/>
      <c r="AC117" s="100"/>
      <c r="AD117" s="100"/>
      <c r="AE117" s="100"/>
      <c r="AF117" s="100"/>
    </row>
    <row r="118" spans="13:32" ht="15">
      <c r="M118" s="100"/>
      <c r="N118" s="100"/>
      <c r="O118" s="100"/>
      <c r="P118" s="100"/>
      <c r="Q118" s="100"/>
      <c r="R118" s="100"/>
      <c r="S118" s="100"/>
      <c r="T118" s="100"/>
      <c r="U118" s="100"/>
      <c r="V118" s="100"/>
      <c r="W118" s="100"/>
      <c r="X118" s="100"/>
      <c r="Y118" s="100"/>
      <c r="Z118" s="100"/>
      <c r="AA118" s="100"/>
      <c r="AB118" s="100"/>
      <c r="AC118" s="100"/>
      <c r="AD118" s="100"/>
      <c r="AE118" s="100"/>
      <c r="AF118" s="100"/>
    </row>
    <row r="119" spans="13:32" ht="15">
      <c r="M119" s="100"/>
      <c r="N119" s="100"/>
      <c r="O119" s="100"/>
      <c r="P119" s="100"/>
      <c r="Q119" s="100"/>
      <c r="R119" s="100"/>
      <c r="S119" s="100"/>
      <c r="T119" s="100"/>
      <c r="U119" s="100"/>
      <c r="V119" s="100"/>
      <c r="W119" s="100"/>
      <c r="X119" s="100"/>
      <c r="Y119" s="100"/>
      <c r="Z119" s="100"/>
      <c r="AA119" s="100"/>
      <c r="AB119" s="100"/>
      <c r="AC119" s="100"/>
      <c r="AD119" s="100"/>
      <c r="AE119" s="100"/>
      <c r="AF119" s="100"/>
    </row>
    <row r="120" spans="13:32" ht="15">
      <c r="M120" s="100"/>
      <c r="N120" s="100"/>
      <c r="O120" s="100"/>
      <c r="P120" s="100"/>
      <c r="Q120" s="100"/>
      <c r="R120" s="100"/>
      <c r="S120" s="100"/>
      <c r="T120" s="100"/>
      <c r="U120" s="100"/>
      <c r="V120" s="100"/>
      <c r="W120" s="100"/>
      <c r="X120" s="100"/>
      <c r="Y120" s="100"/>
      <c r="Z120" s="100"/>
      <c r="AA120" s="100"/>
      <c r="AB120" s="100"/>
      <c r="AC120" s="100"/>
      <c r="AD120" s="100"/>
      <c r="AE120" s="100"/>
      <c r="AF120" s="100"/>
    </row>
    <row r="121" spans="13:32" ht="15">
      <c r="M121" s="100"/>
      <c r="N121" s="100"/>
      <c r="O121" s="100"/>
      <c r="P121" s="100"/>
      <c r="Q121" s="100"/>
      <c r="R121" s="100"/>
      <c r="S121" s="100"/>
      <c r="T121" s="100"/>
      <c r="U121" s="100"/>
      <c r="V121" s="100"/>
      <c r="W121" s="100"/>
      <c r="X121" s="100"/>
      <c r="Y121" s="100"/>
      <c r="Z121" s="100"/>
      <c r="AA121" s="100"/>
      <c r="AB121" s="100"/>
      <c r="AC121" s="100"/>
      <c r="AD121" s="100"/>
      <c r="AE121" s="100"/>
      <c r="AF121" s="100"/>
    </row>
    <row r="122" spans="13:32" ht="15">
      <c r="M122" s="100"/>
      <c r="N122" s="100"/>
      <c r="O122" s="100"/>
      <c r="P122" s="100"/>
      <c r="Q122" s="100"/>
      <c r="R122" s="100"/>
      <c r="S122" s="100"/>
      <c r="T122" s="100"/>
      <c r="U122" s="100"/>
      <c r="V122" s="100"/>
      <c r="W122" s="100"/>
      <c r="X122" s="100"/>
      <c r="Y122" s="100"/>
      <c r="Z122" s="100"/>
      <c r="AA122" s="100"/>
      <c r="AB122" s="100"/>
      <c r="AC122" s="100"/>
      <c r="AD122" s="100"/>
      <c r="AE122" s="100"/>
      <c r="AF122" s="100"/>
    </row>
    <row r="123" spans="13:32" ht="15">
      <c r="M123" s="100"/>
      <c r="N123" s="100"/>
      <c r="O123" s="100"/>
      <c r="P123" s="100"/>
      <c r="Q123" s="100"/>
      <c r="R123" s="100"/>
      <c r="S123" s="100"/>
      <c r="T123" s="100"/>
      <c r="U123" s="100"/>
      <c r="V123" s="100"/>
      <c r="W123" s="100"/>
      <c r="X123" s="100"/>
      <c r="Y123" s="100"/>
      <c r="Z123" s="100"/>
      <c r="AA123" s="100"/>
      <c r="AB123" s="100"/>
      <c r="AC123" s="100"/>
      <c r="AD123" s="100"/>
      <c r="AE123" s="100"/>
      <c r="AF123" s="100"/>
    </row>
    <row r="124" spans="13:32" ht="15">
      <c r="M124" s="100"/>
      <c r="N124" s="100"/>
      <c r="O124" s="100"/>
      <c r="P124" s="100"/>
      <c r="Q124" s="100"/>
      <c r="R124" s="100"/>
      <c r="S124" s="100"/>
      <c r="T124" s="100"/>
      <c r="U124" s="100"/>
      <c r="V124" s="100"/>
      <c r="W124" s="100"/>
      <c r="X124" s="100"/>
      <c r="Y124" s="100"/>
      <c r="Z124" s="100"/>
      <c r="AA124" s="100"/>
      <c r="AB124" s="100"/>
      <c r="AC124" s="100"/>
      <c r="AD124" s="100"/>
      <c r="AE124" s="100"/>
      <c r="AF124" s="100"/>
    </row>
    <row r="125" spans="13:32" ht="15">
      <c r="M125" s="100"/>
      <c r="N125" s="100"/>
      <c r="O125" s="100"/>
      <c r="P125" s="100"/>
      <c r="Q125" s="100"/>
      <c r="R125" s="100"/>
      <c r="S125" s="100"/>
      <c r="T125" s="100"/>
      <c r="U125" s="100"/>
      <c r="V125" s="100"/>
      <c r="W125" s="100"/>
      <c r="X125" s="100"/>
      <c r="Y125" s="100"/>
      <c r="Z125" s="100"/>
      <c r="AA125" s="100"/>
      <c r="AB125" s="100"/>
      <c r="AC125" s="100"/>
      <c r="AD125" s="100"/>
      <c r="AE125" s="100"/>
      <c r="AF125" s="100"/>
    </row>
    <row r="126" spans="13:32" ht="15">
      <c r="M126" s="100"/>
      <c r="N126" s="100"/>
      <c r="O126" s="100"/>
      <c r="P126" s="100"/>
      <c r="Q126" s="100"/>
      <c r="R126" s="100"/>
      <c r="S126" s="100"/>
      <c r="T126" s="100"/>
      <c r="U126" s="100"/>
      <c r="V126" s="100"/>
      <c r="W126" s="100"/>
      <c r="X126" s="100"/>
      <c r="Y126" s="100"/>
      <c r="Z126" s="100"/>
      <c r="AA126" s="100"/>
      <c r="AB126" s="100"/>
      <c r="AC126" s="100"/>
      <c r="AD126" s="100"/>
      <c r="AE126" s="100"/>
      <c r="AF126" s="100"/>
    </row>
    <row r="127" spans="13:32" ht="15">
      <c r="M127" s="100"/>
      <c r="N127" s="100"/>
      <c r="O127" s="100"/>
      <c r="P127" s="100"/>
      <c r="Q127" s="100"/>
      <c r="R127" s="100"/>
      <c r="S127" s="100"/>
      <c r="T127" s="100"/>
      <c r="U127" s="100"/>
      <c r="V127" s="100"/>
      <c r="W127" s="100"/>
      <c r="X127" s="100"/>
      <c r="Y127" s="100"/>
      <c r="Z127" s="100"/>
      <c r="AA127" s="100"/>
      <c r="AB127" s="100"/>
      <c r="AC127" s="100"/>
      <c r="AD127" s="100"/>
      <c r="AE127" s="100"/>
      <c r="AF127" s="100"/>
    </row>
    <row r="128" spans="13:32" ht="15">
      <c r="M128" s="100"/>
      <c r="N128" s="100"/>
      <c r="O128" s="100"/>
      <c r="P128" s="100"/>
      <c r="Q128" s="100"/>
      <c r="R128" s="100"/>
      <c r="S128" s="100"/>
      <c r="T128" s="100"/>
      <c r="U128" s="100"/>
      <c r="V128" s="100"/>
      <c r="W128" s="100"/>
      <c r="X128" s="100"/>
      <c r="Y128" s="100"/>
      <c r="Z128" s="100"/>
      <c r="AA128" s="100"/>
      <c r="AB128" s="100"/>
      <c r="AC128" s="100"/>
      <c r="AD128" s="100"/>
      <c r="AE128" s="100"/>
      <c r="AF128" s="100"/>
    </row>
    <row r="129" spans="13:32" ht="15">
      <c r="M129" s="100"/>
      <c r="N129" s="100"/>
      <c r="O129" s="100"/>
      <c r="P129" s="100"/>
      <c r="Q129" s="100"/>
      <c r="R129" s="100"/>
      <c r="S129" s="100"/>
      <c r="T129" s="100"/>
      <c r="U129" s="100"/>
      <c r="V129" s="100"/>
      <c r="W129" s="100"/>
      <c r="X129" s="100"/>
      <c r="Y129" s="100"/>
      <c r="Z129" s="100"/>
      <c r="AA129" s="100"/>
      <c r="AB129" s="100"/>
      <c r="AC129" s="100"/>
      <c r="AD129" s="100"/>
      <c r="AE129" s="100"/>
      <c r="AF129" s="100"/>
    </row>
    <row r="130" spans="13:32" ht="15">
      <c r="M130" s="100"/>
      <c r="N130" s="100"/>
      <c r="O130" s="100"/>
      <c r="P130" s="100"/>
      <c r="Q130" s="100"/>
      <c r="R130" s="100"/>
      <c r="S130" s="100"/>
      <c r="T130" s="100"/>
      <c r="U130" s="100"/>
      <c r="V130" s="100"/>
      <c r="W130" s="100"/>
      <c r="X130" s="100"/>
      <c r="Y130" s="100"/>
      <c r="Z130" s="100"/>
      <c r="AA130" s="100"/>
      <c r="AB130" s="100"/>
      <c r="AC130" s="100"/>
      <c r="AD130" s="100"/>
      <c r="AE130" s="100"/>
      <c r="AF130" s="100"/>
    </row>
    <row r="131" spans="13:32" ht="15">
      <c r="M131" s="100"/>
      <c r="N131" s="100"/>
      <c r="O131" s="100"/>
      <c r="P131" s="100"/>
      <c r="Q131" s="100"/>
      <c r="R131" s="100"/>
      <c r="S131" s="100"/>
      <c r="T131" s="100"/>
      <c r="U131" s="100"/>
      <c r="V131" s="100"/>
      <c r="W131" s="100"/>
      <c r="X131" s="100"/>
      <c r="Y131" s="100"/>
      <c r="Z131" s="100"/>
      <c r="AA131" s="100"/>
      <c r="AB131" s="100"/>
      <c r="AC131" s="100"/>
      <c r="AD131" s="100"/>
      <c r="AE131" s="100"/>
      <c r="AF131" s="100"/>
    </row>
    <row r="132" spans="13:32" ht="15">
      <c r="M132" s="100"/>
      <c r="N132" s="100"/>
      <c r="O132" s="100"/>
      <c r="P132" s="100"/>
      <c r="Q132" s="100"/>
      <c r="R132" s="100"/>
      <c r="S132" s="100"/>
      <c r="T132" s="100"/>
      <c r="U132" s="100"/>
      <c r="V132" s="100"/>
      <c r="W132" s="100"/>
      <c r="X132" s="100"/>
      <c r="Y132" s="100"/>
      <c r="Z132" s="100"/>
      <c r="AA132" s="100"/>
      <c r="AB132" s="100"/>
      <c r="AC132" s="100"/>
      <c r="AD132" s="100"/>
      <c r="AE132" s="100"/>
      <c r="AF132" s="100"/>
    </row>
    <row r="133" spans="13:32" ht="15">
      <c r="M133" s="100"/>
      <c r="N133" s="100"/>
      <c r="O133" s="100"/>
      <c r="P133" s="100"/>
      <c r="Q133" s="100"/>
      <c r="R133" s="100"/>
      <c r="S133" s="100"/>
      <c r="T133" s="100"/>
      <c r="U133" s="100"/>
      <c r="V133" s="100"/>
      <c r="W133" s="100"/>
      <c r="X133" s="100"/>
      <c r="Y133" s="100"/>
      <c r="Z133" s="100"/>
      <c r="AA133" s="100"/>
      <c r="AB133" s="100"/>
      <c r="AC133" s="100"/>
      <c r="AD133" s="100"/>
      <c r="AE133" s="100"/>
      <c r="AF133" s="100"/>
    </row>
    <row r="134" spans="13:32" ht="15">
      <c r="M134" s="100"/>
      <c r="N134" s="100"/>
      <c r="O134" s="100"/>
      <c r="P134" s="100"/>
      <c r="Q134" s="100"/>
      <c r="R134" s="100"/>
      <c r="S134" s="100"/>
      <c r="T134" s="100"/>
      <c r="U134" s="100"/>
      <c r="V134" s="100"/>
      <c r="W134" s="100"/>
      <c r="X134" s="100"/>
      <c r="Y134" s="100"/>
      <c r="Z134" s="100"/>
      <c r="AA134" s="100"/>
      <c r="AB134" s="100"/>
      <c r="AC134" s="100"/>
      <c r="AD134" s="100"/>
      <c r="AE134" s="100"/>
      <c r="AF134" s="100"/>
    </row>
    <row r="135" spans="13:32" ht="15">
      <c r="M135" s="100"/>
      <c r="N135" s="100"/>
      <c r="O135" s="100"/>
      <c r="P135" s="100"/>
      <c r="Q135" s="100"/>
      <c r="R135" s="100"/>
      <c r="S135" s="100"/>
      <c r="T135" s="100"/>
      <c r="U135" s="100"/>
      <c r="V135" s="100"/>
      <c r="W135" s="100"/>
      <c r="X135" s="100"/>
      <c r="Y135" s="100"/>
      <c r="Z135" s="100"/>
      <c r="AA135" s="100"/>
      <c r="AB135" s="100"/>
      <c r="AC135" s="100"/>
      <c r="AD135" s="100"/>
      <c r="AE135" s="100"/>
      <c r="AF135" s="100"/>
    </row>
    <row r="136" spans="13:32" ht="15">
      <c r="M136" s="100"/>
      <c r="N136" s="100"/>
      <c r="O136" s="100"/>
      <c r="P136" s="100"/>
      <c r="Q136" s="100"/>
      <c r="R136" s="100"/>
      <c r="S136" s="100"/>
      <c r="T136" s="100"/>
      <c r="U136" s="100"/>
      <c r="V136" s="100"/>
      <c r="W136" s="100"/>
      <c r="X136" s="100"/>
      <c r="Y136" s="100"/>
      <c r="Z136" s="100"/>
      <c r="AA136" s="100"/>
      <c r="AB136" s="100"/>
      <c r="AC136" s="100"/>
      <c r="AD136" s="100"/>
      <c r="AE136" s="100"/>
      <c r="AF136" s="100"/>
    </row>
    <row r="137" spans="13:32" ht="15">
      <c r="M137" s="100"/>
      <c r="N137" s="100"/>
      <c r="O137" s="100"/>
      <c r="P137" s="100"/>
      <c r="Q137" s="100"/>
      <c r="R137" s="100"/>
      <c r="S137" s="100"/>
      <c r="T137" s="100"/>
      <c r="U137" s="100"/>
      <c r="V137" s="100"/>
      <c r="W137" s="100"/>
      <c r="X137" s="100"/>
      <c r="Y137" s="100"/>
      <c r="Z137" s="100"/>
      <c r="AA137" s="100"/>
      <c r="AB137" s="100"/>
      <c r="AC137" s="100"/>
      <c r="AD137" s="100"/>
      <c r="AE137" s="100"/>
      <c r="AF137" s="100"/>
    </row>
    <row r="138" spans="13:32" ht="15">
      <c r="M138" s="100"/>
      <c r="N138" s="100"/>
      <c r="O138" s="100"/>
      <c r="P138" s="100"/>
      <c r="Q138" s="100"/>
      <c r="R138" s="100"/>
      <c r="S138" s="100"/>
      <c r="T138" s="100"/>
      <c r="U138" s="100"/>
      <c r="V138" s="100"/>
      <c r="W138" s="100"/>
      <c r="X138" s="100"/>
      <c r="Y138" s="100"/>
      <c r="Z138" s="100"/>
      <c r="AA138" s="100"/>
      <c r="AB138" s="100"/>
      <c r="AC138" s="100"/>
      <c r="AD138" s="100"/>
      <c r="AE138" s="100"/>
      <c r="AF138" s="100"/>
    </row>
    <row r="139" spans="13:32" ht="15">
      <c r="M139" s="100"/>
      <c r="N139" s="100"/>
      <c r="O139" s="100"/>
      <c r="P139" s="100"/>
      <c r="Q139" s="100"/>
      <c r="R139" s="100"/>
      <c r="S139" s="100"/>
      <c r="T139" s="100"/>
      <c r="U139" s="100"/>
      <c r="V139" s="100"/>
      <c r="W139" s="100"/>
      <c r="X139" s="100"/>
      <c r="Y139" s="100"/>
      <c r="Z139" s="100"/>
      <c r="AA139" s="100"/>
      <c r="AB139" s="100"/>
      <c r="AC139" s="100"/>
      <c r="AD139" s="100"/>
      <c r="AE139" s="100"/>
      <c r="AF139" s="100"/>
    </row>
    <row r="140" spans="13:32" ht="15">
      <c r="M140" s="100"/>
      <c r="N140" s="100"/>
      <c r="O140" s="100"/>
      <c r="P140" s="100"/>
      <c r="Q140" s="100"/>
      <c r="R140" s="100"/>
      <c r="S140" s="100"/>
      <c r="T140" s="100"/>
      <c r="U140" s="100"/>
      <c r="V140" s="100"/>
      <c r="W140" s="100"/>
      <c r="X140" s="100"/>
      <c r="Y140" s="100"/>
      <c r="Z140" s="100"/>
      <c r="AA140" s="100"/>
      <c r="AB140" s="100"/>
      <c r="AC140" s="100"/>
      <c r="AD140" s="100"/>
      <c r="AE140" s="100"/>
      <c r="AF140" s="100"/>
    </row>
    <row r="141" spans="13:32" ht="15">
      <c r="M141" s="100"/>
      <c r="N141" s="100"/>
      <c r="O141" s="100"/>
      <c r="P141" s="100"/>
      <c r="Q141" s="100"/>
      <c r="R141" s="100"/>
      <c r="S141" s="100"/>
      <c r="T141" s="100"/>
      <c r="U141" s="100"/>
      <c r="V141" s="100"/>
      <c r="W141" s="100"/>
      <c r="X141" s="100"/>
      <c r="Y141" s="100"/>
      <c r="Z141" s="100"/>
      <c r="AA141" s="100"/>
      <c r="AB141" s="100"/>
      <c r="AC141" s="100"/>
      <c r="AD141" s="100"/>
      <c r="AE141" s="100"/>
      <c r="AF141" s="100"/>
    </row>
    <row r="142" spans="13:32" ht="15">
      <c r="M142" s="100"/>
      <c r="N142" s="100"/>
      <c r="O142" s="100"/>
      <c r="P142" s="100"/>
      <c r="Q142" s="100"/>
      <c r="R142" s="100"/>
      <c r="S142" s="100"/>
      <c r="T142" s="100"/>
      <c r="U142" s="100"/>
      <c r="V142" s="100"/>
      <c r="W142" s="100"/>
      <c r="X142" s="100"/>
      <c r="Y142" s="100"/>
      <c r="Z142" s="100"/>
      <c r="AA142" s="100"/>
      <c r="AB142" s="100"/>
      <c r="AC142" s="100"/>
      <c r="AD142" s="100"/>
      <c r="AE142" s="100"/>
      <c r="AF142" s="100"/>
    </row>
    <row r="143" spans="13:32" ht="15">
      <c r="M143" s="100"/>
      <c r="N143" s="100"/>
      <c r="O143" s="100"/>
      <c r="P143" s="100"/>
      <c r="Q143" s="100"/>
      <c r="R143" s="100"/>
      <c r="S143" s="100"/>
      <c r="T143" s="100"/>
      <c r="U143" s="100"/>
      <c r="V143" s="100"/>
      <c r="W143" s="100"/>
      <c r="X143" s="100"/>
      <c r="Y143" s="100"/>
      <c r="Z143" s="100"/>
      <c r="AA143" s="100"/>
      <c r="AB143" s="100"/>
      <c r="AC143" s="100"/>
      <c r="AD143" s="100"/>
      <c r="AE143" s="100"/>
      <c r="AF143" s="100"/>
    </row>
    <row r="144" spans="13:32" ht="15">
      <c r="M144" s="100"/>
      <c r="N144" s="100"/>
      <c r="O144" s="100"/>
      <c r="P144" s="100"/>
      <c r="Q144" s="100"/>
      <c r="R144" s="100"/>
      <c r="S144" s="100"/>
      <c r="T144" s="100"/>
      <c r="U144" s="100"/>
      <c r="V144" s="100"/>
      <c r="W144" s="100"/>
      <c r="X144" s="100"/>
      <c r="Y144" s="100"/>
      <c r="Z144" s="100"/>
      <c r="AA144" s="100"/>
      <c r="AB144" s="100"/>
      <c r="AC144" s="100"/>
      <c r="AD144" s="100"/>
      <c r="AE144" s="100"/>
      <c r="AF144" s="100"/>
    </row>
  </sheetData>
  <sheetProtection algorithmName="SHA-512" hashValue="ULT7/VMmJaoEjI9OYee5I60mlFvUHYZtvo0CZIUZDmUuUW5xQopZO+l6gGbtLZJ5G3pHYLgTVBVd0k8hzi/ncA==" saltValue="kpV5/4iW9qnpfWnAtVTzEg==" spinCount="100000" sheet="1" objects="1" scenarios="1" selectLockedCells="1" selectUnlockedCells="1"/>
  <mergeCells count="10">
    <mergeCell ref="K54:L54"/>
    <mergeCell ref="H55:I55"/>
    <mergeCell ref="H56:I56"/>
    <mergeCell ref="H57:I57"/>
    <mergeCell ref="C50:D50"/>
    <mergeCell ref="E50:G50"/>
    <mergeCell ref="C51:D51"/>
    <mergeCell ref="E51:G51"/>
    <mergeCell ref="E54:F54"/>
    <mergeCell ref="H54:I54"/>
  </mergeCells>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1A6D2-E3FF-4EE7-B14B-FFB620AAC54D}">
  <sheetPr>
    <tabColor theme="9" tint="0.79998168889431442"/>
  </sheetPr>
  <dimension ref="A1:N38"/>
  <sheetViews>
    <sheetView showGridLines="0" workbookViewId="0">
      <selection activeCell="L7" sqref="L7"/>
    </sheetView>
  </sheetViews>
  <sheetFormatPr defaultColWidth="11.5703125" defaultRowHeight="15"/>
  <cols>
    <col min="1" max="2" width="11.5703125" style="100"/>
    <col min="3" max="3" width="15.7109375" style="100" customWidth="1"/>
    <col min="4" max="4" width="12.42578125" style="100" bestFit="1" customWidth="1"/>
    <col min="5" max="5" width="18.7109375" style="100" customWidth="1"/>
    <col min="6" max="6" width="15" style="100" customWidth="1"/>
    <col min="7" max="7" width="12.42578125" style="100" bestFit="1" customWidth="1"/>
    <col min="8" max="8" width="17" style="100" customWidth="1"/>
    <col min="9" max="9" width="14.7109375" style="100" customWidth="1"/>
    <col min="10" max="10" width="41.7109375" style="100" customWidth="1"/>
    <col min="11" max="16384" width="11.5703125" style="100"/>
  </cols>
  <sheetData>
    <row r="1" spans="1:12" ht="15.75" thickBot="1">
      <c r="A1" s="359" t="s">
        <v>206</v>
      </c>
      <c r="B1" s="359"/>
      <c r="C1" s="359"/>
      <c r="D1" s="359"/>
      <c r="E1" s="359" t="s">
        <v>3</v>
      </c>
      <c r="F1" s="359"/>
      <c r="G1" s="164"/>
      <c r="H1" s="164"/>
      <c r="I1" s="164"/>
      <c r="J1" s="164"/>
      <c r="K1" s="164"/>
    </row>
    <row r="2" spans="1:12" ht="15.75" thickBot="1">
      <c r="A2" s="360">
        <v>0</v>
      </c>
      <c r="B2" s="361"/>
      <c r="C2" s="361"/>
      <c r="D2" s="362"/>
      <c r="E2" s="363">
        <v>0</v>
      </c>
      <c r="F2" s="364"/>
      <c r="G2" s="164"/>
      <c r="H2" s="164"/>
      <c r="I2" s="164"/>
      <c r="J2" s="164"/>
      <c r="K2" s="164"/>
    </row>
    <row r="3" spans="1:12">
      <c r="A3" s="164"/>
      <c r="B3" s="164"/>
      <c r="C3" s="164"/>
      <c r="D3" s="164"/>
      <c r="E3" s="164"/>
      <c r="F3" s="164"/>
      <c r="G3" s="164"/>
      <c r="H3" s="164"/>
      <c r="I3" s="164"/>
      <c r="J3" s="164"/>
      <c r="K3" s="164"/>
    </row>
    <row r="4" spans="1:12">
      <c r="A4" s="165" t="s">
        <v>207</v>
      </c>
      <c r="B4" s="166"/>
      <c r="C4" s="166"/>
      <c r="D4" s="164"/>
      <c r="E4" s="164"/>
      <c r="F4" s="164"/>
      <c r="G4" s="164"/>
      <c r="H4" s="164"/>
      <c r="I4" s="164"/>
      <c r="J4" s="164"/>
      <c r="K4" s="164"/>
    </row>
    <row r="5" spans="1:12">
      <c r="A5" s="165" t="s">
        <v>208</v>
      </c>
      <c r="B5" s="166"/>
      <c r="C5" s="166"/>
      <c r="D5" s="164"/>
      <c r="E5" s="164"/>
      <c r="F5" s="164"/>
      <c r="G5" s="164"/>
      <c r="H5" s="164"/>
      <c r="I5" s="164"/>
      <c r="J5" s="164"/>
      <c r="K5" s="164"/>
    </row>
    <row r="6" spans="1:12">
      <c r="A6" s="167" t="s">
        <v>209</v>
      </c>
      <c r="B6" s="164"/>
      <c r="C6" s="164"/>
      <c r="D6" s="164"/>
      <c r="E6" s="164"/>
      <c r="F6" s="164"/>
      <c r="G6" s="164"/>
      <c r="H6" s="164"/>
      <c r="I6" s="164"/>
      <c r="J6" s="164"/>
      <c r="K6" s="164"/>
    </row>
    <row r="7" spans="1:12" ht="15.75" thickBot="1">
      <c r="A7" s="167" t="s">
        <v>210</v>
      </c>
      <c r="B7" s="164"/>
      <c r="C7" s="164"/>
      <c r="D7" s="164"/>
      <c r="E7" s="164"/>
      <c r="F7" s="164"/>
      <c r="G7" s="164"/>
      <c r="H7" s="164"/>
      <c r="I7" s="164"/>
      <c r="J7" s="164"/>
      <c r="K7" s="164"/>
    </row>
    <row r="8" spans="1:12">
      <c r="A8" s="167"/>
      <c r="B8" s="164"/>
      <c r="C8" s="164"/>
      <c r="D8" s="164"/>
      <c r="E8" s="164"/>
      <c r="F8" s="164"/>
      <c r="G8" s="353" t="s">
        <v>211</v>
      </c>
      <c r="H8" s="354"/>
      <c r="I8" s="354"/>
      <c r="J8" s="355"/>
      <c r="K8" s="164"/>
    </row>
    <row r="9" spans="1:12" ht="15.75" thickBot="1">
      <c r="A9" s="164"/>
      <c r="B9" s="164"/>
      <c r="C9" s="164"/>
      <c r="D9" s="164"/>
      <c r="E9" s="164"/>
      <c r="F9" s="164"/>
      <c r="G9" s="356"/>
      <c r="H9" s="357"/>
      <c r="I9" s="357"/>
      <c r="J9" s="358"/>
      <c r="K9" s="164"/>
    </row>
    <row r="10" spans="1:12">
      <c r="A10" s="164"/>
      <c r="B10" s="164"/>
      <c r="C10" s="164"/>
      <c r="D10" s="339" t="s">
        <v>212</v>
      </c>
      <c r="E10" s="340"/>
      <c r="F10" s="340"/>
      <c r="G10" s="339" t="s">
        <v>213</v>
      </c>
      <c r="H10" s="340"/>
      <c r="I10" s="340"/>
      <c r="J10" s="341"/>
      <c r="K10" s="164"/>
    </row>
    <row r="11" spans="1:12" ht="15.75" thickBot="1">
      <c r="A11" s="168"/>
      <c r="B11" s="168"/>
      <c r="C11" s="169"/>
      <c r="D11" s="342"/>
      <c r="E11" s="343"/>
      <c r="F11" s="343"/>
      <c r="G11" s="342"/>
      <c r="H11" s="343"/>
      <c r="I11" s="343"/>
      <c r="J11" s="344"/>
      <c r="K11" s="164"/>
    </row>
    <row r="12" spans="1:12" ht="15.75" thickBot="1">
      <c r="A12" s="168"/>
      <c r="B12" s="168"/>
      <c r="C12" s="169"/>
      <c r="D12" s="365">
        <v>2024</v>
      </c>
      <c r="E12" s="366"/>
      <c r="F12" s="367"/>
      <c r="G12" s="368">
        <v>2026</v>
      </c>
      <c r="H12" s="369"/>
      <c r="I12" s="369"/>
      <c r="J12" s="370"/>
      <c r="K12" s="164"/>
    </row>
    <row r="13" spans="1:12" ht="15.75" thickBot="1">
      <c r="A13" s="334" t="s">
        <v>214</v>
      </c>
      <c r="B13" s="335"/>
      <c r="C13" s="336"/>
      <c r="D13" s="170" t="s">
        <v>215</v>
      </c>
      <c r="E13" s="171" t="s">
        <v>216</v>
      </c>
      <c r="F13" s="172" t="s">
        <v>217</v>
      </c>
      <c r="G13" s="170" t="s">
        <v>215</v>
      </c>
      <c r="H13" s="173" t="s">
        <v>216</v>
      </c>
      <c r="I13" s="174" t="s">
        <v>217</v>
      </c>
      <c r="J13" s="175" t="s">
        <v>218</v>
      </c>
      <c r="K13" s="164"/>
      <c r="L13" s="176"/>
    </row>
    <row r="14" spans="1:12">
      <c r="A14" s="371" t="s">
        <v>219</v>
      </c>
      <c r="B14" s="372"/>
      <c r="C14" s="373"/>
      <c r="D14" s="177"/>
      <c r="E14" s="178"/>
      <c r="F14" s="179">
        <v>0</v>
      </c>
      <c r="G14" s="177"/>
      <c r="H14" s="180"/>
      <c r="I14" s="181">
        <v>0</v>
      </c>
      <c r="J14" s="182">
        <v>0</v>
      </c>
      <c r="K14" s="164"/>
    </row>
    <row r="15" spans="1:12">
      <c r="A15" s="374" t="s">
        <v>108</v>
      </c>
      <c r="B15" s="347"/>
      <c r="C15" s="348"/>
      <c r="D15" s="177"/>
      <c r="E15" s="178"/>
      <c r="F15" s="183">
        <v>0</v>
      </c>
      <c r="G15" s="177"/>
      <c r="H15" s="180"/>
      <c r="I15" s="184">
        <v>0</v>
      </c>
      <c r="J15" s="185">
        <v>0</v>
      </c>
      <c r="K15" s="164"/>
    </row>
    <row r="16" spans="1:12">
      <c r="A16" s="346" t="s">
        <v>110</v>
      </c>
      <c r="B16" s="347"/>
      <c r="C16" s="348"/>
      <c r="D16" s="177"/>
      <c r="E16" s="178"/>
      <c r="F16" s="186">
        <v>0</v>
      </c>
      <c r="G16" s="177"/>
      <c r="H16" s="180"/>
      <c r="I16" s="179">
        <v>0</v>
      </c>
      <c r="J16" s="185">
        <v>0</v>
      </c>
      <c r="K16" s="164"/>
    </row>
    <row r="17" spans="1:14">
      <c r="A17" s="346" t="s">
        <v>112</v>
      </c>
      <c r="B17" s="347"/>
      <c r="C17" s="348"/>
      <c r="D17" s="177"/>
      <c r="E17" s="178"/>
      <c r="F17" s="187">
        <v>0</v>
      </c>
      <c r="G17" s="177"/>
      <c r="H17" s="180"/>
      <c r="I17" s="188">
        <v>0</v>
      </c>
      <c r="J17" s="185">
        <v>0</v>
      </c>
      <c r="K17" s="164"/>
    </row>
    <row r="18" spans="1:14">
      <c r="A18" s="346" t="s">
        <v>114</v>
      </c>
      <c r="B18" s="347"/>
      <c r="C18" s="348"/>
      <c r="D18" s="177"/>
      <c r="E18" s="178"/>
      <c r="F18" s="187">
        <v>0</v>
      </c>
      <c r="G18" s="189"/>
      <c r="H18" s="190"/>
      <c r="I18" s="188">
        <v>0</v>
      </c>
      <c r="J18" s="185">
        <v>0</v>
      </c>
      <c r="K18" s="164"/>
    </row>
    <row r="19" spans="1:14" ht="15.75" thickBot="1">
      <c r="A19" s="349" t="s">
        <v>116</v>
      </c>
      <c r="B19" s="350"/>
      <c r="C19" s="351"/>
      <c r="D19" s="177"/>
      <c r="E19" s="191"/>
      <c r="F19" s="187">
        <v>0</v>
      </c>
      <c r="G19" s="192"/>
      <c r="H19" s="193"/>
      <c r="I19" s="194">
        <v>0</v>
      </c>
      <c r="J19" s="185">
        <v>0</v>
      </c>
      <c r="K19" s="164"/>
    </row>
    <row r="20" spans="1:14" ht="15.75" thickBot="1">
      <c r="A20" s="334" t="s">
        <v>220</v>
      </c>
      <c r="B20" s="335"/>
      <c r="C20" s="336"/>
      <c r="D20" s="195">
        <v>0</v>
      </c>
      <c r="E20" s="196">
        <v>0</v>
      </c>
      <c r="F20" s="197">
        <v>0</v>
      </c>
      <c r="G20" s="195">
        <v>0</v>
      </c>
      <c r="H20" s="198">
        <v>0</v>
      </c>
      <c r="I20" s="197">
        <v>0</v>
      </c>
      <c r="J20" s="199">
        <v>0</v>
      </c>
      <c r="K20" s="164"/>
      <c r="M20" s="200"/>
    </row>
    <row r="21" spans="1:14" ht="15.75" thickBot="1">
      <c r="A21" s="164"/>
      <c r="B21" s="164"/>
      <c r="C21" s="164"/>
      <c r="D21" s="164"/>
      <c r="E21" s="201"/>
      <c r="F21" s="201"/>
      <c r="G21" s="164"/>
      <c r="H21" s="164"/>
      <c r="I21" s="164"/>
      <c r="J21" s="164"/>
      <c r="K21" s="164"/>
      <c r="N21" s="113"/>
    </row>
    <row r="22" spans="1:14">
      <c r="A22" s="352" t="s">
        <v>221</v>
      </c>
      <c r="B22" s="352"/>
      <c r="C22" s="164"/>
      <c r="D22" s="339" t="s">
        <v>212</v>
      </c>
      <c r="E22" s="340"/>
      <c r="F22" s="341"/>
      <c r="G22" s="339" t="s">
        <v>213</v>
      </c>
      <c r="H22" s="340"/>
      <c r="I22" s="340"/>
      <c r="J22" s="341"/>
      <c r="K22" s="164"/>
    </row>
    <row r="23" spans="1:14" ht="15.75" thickBot="1">
      <c r="A23" s="167" t="s">
        <v>222</v>
      </c>
      <c r="B23" s="164"/>
      <c r="C23" s="164"/>
      <c r="D23" s="342"/>
      <c r="E23" s="345"/>
      <c r="F23" s="344"/>
      <c r="G23" s="342"/>
      <c r="H23" s="343"/>
      <c r="I23" s="343"/>
      <c r="J23" s="344"/>
      <c r="K23" s="164"/>
    </row>
    <row r="24" spans="1:14">
      <c r="A24" s="337" t="s">
        <v>223</v>
      </c>
      <c r="B24" s="337"/>
      <c r="C24" s="337"/>
      <c r="D24" s="202"/>
      <c r="E24" s="203"/>
      <c r="F24" s="204"/>
      <c r="G24" s="205"/>
      <c r="H24" s="206">
        <v>0</v>
      </c>
      <c r="I24" s="205"/>
      <c r="J24" s="207">
        <v>0</v>
      </c>
      <c r="K24" s="164"/>
    </row>
    <row r="25" spans="1:14">
      <c r="A25" s="337" t="s">
        <v>224</v>
      </c>
      <c r="B25" s="337"/>
      <c r="C25" s="337"/>
      <c r="D25" s="202"/>
      <c r="E25" s="208"/>
      <c r="F25" s="204"/>
      <c r="G25" s="205"/>
      <c r="H25" s="206"/>
      <c r="I25" s="205"/>
      <c r="J25" s="185">
        <v>0</v>
      </c>
      <c r="K25" s="164"/>
    </row>
    <row r="26" spans="1:14">
      <c r="A26" s="337" t="s">
        <v>225</v>
      </c>
      <c r="B26" s="337"/>
      <c r="C26" s="337"/>
      <c r="D26" s="202"/>
      <c r="E26" s="208"/>
      <c r="F26" s="204"/>
      <c r="G26" s="205"/>
      <c r="H26" s="206"/>
      <c r="I26" s="205"/>
      <c r="J26" s="185">
        <v>0</v>
      </c>
      <c r="K26" s="201"/>
      <c r="L26" s="209"/>
    </row>
    <row r="27" spans="1:14">
      <c r="A27" s="337" t="s">
        <v>226</v>
      </c>
      <c r="B27" s="337"/>
      <c r="C27" s="337"/>
      <c r="D27" s="202"/>
      <c r="E27" s="208"/>
      <c r="F27" s="204"/>
      <c r="G27" s="205"/>
      <c r="H27" s="206"/>
      <c r="I27" s="205"/>
      <c r="J27" s="185">
        <v>0</v>
      </c>
      <c r="K27" s="164"/>
    </row>
    <row r="28" spans="1:14">
      <c r="A28" s="337" t="s">
        <v>227</v>
      </c>
      <c r="B28" s="337"/>
      <c r="C28" s="337"/>
      <c r="D28" s="202"/>
      <c r="E28" s="208"/>
      <c r="F28" s="204"/>
      <c r="G28" s="205"/>
      <c r="H28" s="206"/>
      <c r="I28" s="205"/>
      <c r="J28" s="185">
        <v>0</v>
      </c>
      <c r="K28" s="164"/>
    </row>
    <row r="29" spans="1:14">
      <c r="A29" s="337" t="s">
        <v>228</v>
      </c>
      <c r="B29" s="337"/>
      <c r="C29" s="337"/>
      <c r="D29" s="202"/>
      <c r="E29" s="208"/>
      <c r="F29" s="204"/>
      <c r="G29" s="205"/>
      <c r="H29" s="206"/>
      <c r="I29" s="205"/>
      <c r="J29" s="185">
        <v>0</v>
      </c>
      <c r="K29" s="164"/>
    </row>
    <row r="30" spans="1:14">
      <c r="A30" s="337" t="s">
        <v>229</v>
      </c>
      <c r="B30" s="337"/>
      <c r="C30" s="337"/>
      <c r="D30" s="202"/>
      <c r="E30" s="208"/>
      <c r="F30" s="204"/>
      <c r="G30" s="205"/>
      <c r="H30" s="206"/>
      <c r="I30" s="205"/>
      <c r="J30" s="185">
        <v>0</v>
      </c>
      <c r="K30" s="164"/>
    </row>
    <row r="31" spans="1:14">
      <c r="A31" s="337" t="s">
        <v>230</v>
      </c>
      <c r="B31" s="337"/>
      <c r="C31" s="337"/>
      <c r="D31" s="202"/>
      <c r="E31" s="208"/>
      <c r="F31" s="204"/>
      <c r="G31" s="205"/>
      <c r="H31" s="206"/>
      <c r="I31" s="205"/>
      <c r="J31" s="185">
        <v>0</v>
      </c>
      <c r="K31" s="164"/>
    </row>
    <row r="32" spans="1:14">
      <c r="A32" s="337" t="s">
        <v>231</v>
      </c>
      <c r="B32" s="337"/>
      <c r="C32" s="337"/>
      <c r="D32" s="202"/>
      <c r="E32" s="208"/>
      <c r="F32" s="204"/>
      <c r="G32" s="205"/>
      <c r="H32" s="206"/>
      <c r="I32" s="205"/>
      <c r="J32" s="185">
        <v>0</v>
      </c>
      <c r="K32" s="164"/>
    </row>
    <row r="33" spans="1:11">
      <c r="A33" s="337" t="s">
        <v>232</v>
      </c>
      <c r="B33" s="337"/>
      <c r="C33" s="337"/>
      <c r="D33" s="202"/>
      <c r="E33" s="208"/>
      <c r="F33" s="210"/>
      <c r="G33" s="205"/>
      <c r="H33" s="206"/>
      <c r="I33" s="205"/>
      <c r="J33" s="185">
        <v>0</v>
      </c>
      <c r="K33" s="164"/>
    </row>
    <row r="34" spans="1:11" ht="15.75" thickBot="1">
      <c r="A34" s="338" t="s">
        <v>233</v>
      </c>
      <c r="B34" s="338"/>
      <c r="C34" s="338"/>
      <c r="D34" s="202"/>
      <c r="E34" s="211"/>
      <c r="F34" s="204"/>
      <c r="G34" s="205"/>
      <c r="H34" s="206">
        <v>0</v>
      </c>
      <c r="I34" s="205"/>
      <c r="J34" s="212">
        <v>0</v>
      </c>
      <c r="K34" s="164"/>
    </row>
    <row r="35" spans="1:11" ht="15.75" thickBot="1">
      <c r="A35" s="334" t="s">
        <v>234</v>
      </c>
      <c r="B35" s="335"/>
      <c r="C35" s="336"/>
      <c r="D35" s="213"/>
      <c r="E35" s="214">
        <v>0</v>
      </c>
      <c r="F35" s="215">
        <v>0</v>
      </c>
      <c r="G35" s="213"/>
      <c r="H35" s="216">
        <v>0</v>
      </c>
      <c r="I35" s="217">
        <v>0</v>
      </c>
      <c r="J35" s="218"/>
      <c r="K35" s="164"/>
    </row>
    <row r="36" spans="1:11" ht="15.75" thickBot="1">
      <c r="A36" s="164"/>
      <c r="B36" s="164"/>
      <c r="C36" s="164"/>
      <c r="D36" s="164"/>
      <c r="E36" s="219"/>
      <c r="F36" s="201"/>
      <c r="G36" s="164"/>
      <c r="H36" s="219"/>
      <c r="I36" s="164"/>
      <c r="J36" s="164"/>
      <c r="K36" s="164"/>
    </row>
    <row r="37" spans="1:11" ht="15.75" thickBot="1">
      <c r="A37" s="334" t="s">
        <v>235</v>
      </c>
      <c r="B37" s="335"/>
      <c r="C37" s="336"/>
      <c r="D37" s="164"/>
      <c r="E37" s="220">
        <v>0</v>
      </c>
      <c r="F37" s="201"/>
      <c r="G37" s="164"/>
      <c r="H37" s="220">
        <v>0</v>
      </c>
      <c r="I37" s="164"/>
      <c r="J37" s="164"/>
      <c r="K37" s="164"/>
    </row>
    <row r="38" spans="1:11">
      <c r="A38" s="282"/>
      <c r="B38" s="282"/>
      <c r="C38" s="282"/>
      <c r="D38" s="164"/>
      <c r="E38" s="221"/>
      <c r="F38" s="201"/>
      <c r="G38" s="164"/>
      <c r="H38" s="164"/>
      <c r="I38" s="164"/>
      <c r="J38" s="164"/>
      <c r="K38" s="164"/>
    </row>
  </sheetData>
  <sheetProtection algorithmName="SHA-512" hashValue="J9af9gvQCfUaTwBbvdR1yvzuqchipHJOQ8jtiQIIkBnsiItMb7O7FqmCNBHhPOLV0Q/Tn9gzyCg7BflfY53PDw==" saltValue="OSkU3k3AfZSrCWVfSbnUpw==" spinCount="100000" sheet="1" objects="1" scenarios="1" selectLockedCells="1" selectUnlockedCells="1"/>
  <mergeCells count="33">
    <mergeCell ref="G8:J9"/>
    <mergeCell ref="D10:F11"/>
    <mergeCell ref="G10:J11"/>
    <mergeCell ref="A16:C16"/>
    <mergeCell ref="A1:D1"/>
    <mergeCell ref="E1:F1"/>
    <mergeCell ref="A2:D2"/>
    <mergeCell ref="E2:F2"/>
    <mergeCell ref="D12:F12"/>
    <mergeCell ref="G12:J12"/>
    <mergeCell ref="A13:C13"/>
    <mergeCell ref="A14:C14"/>
    <mergeCell ref="A15:C15"/>
    <mergeCell ref="A28:C28"/>
    <mergeCell ref="A17:C17"/>
    <mergeCell ref="A18:C18"/>
    <mergeCell ref="A19:C19"/>
    <mergeCell ref="A20:C20"/>
    <mergeCell ref="A22:B22"/>
    <mergeCell ref="G22:J23"/>
    <mergeCell ref="A24:C24"/>
    <mergeCell ref="A25:C25"/>
    <mergeCell ref="A26:C26"/>
    <mergeCell ref="A27:C27"/>
    <mergeCell ref="D22:F23"/>
    <mergeCell ref="A35:C35"/>
    <mergeCell ref="A37:C37"/>
    <mergeCell ref="A29:C29"/>
    <mergeCell ref="A30:C30"/>
    <mergeCell ref="A31:C31"/>
    <mergeCell ref="A32:C32"/>
    <mergeCell ref="A33:C33"/>
    <mergeCell ref="A34:C34"/>
  </mergeCells>
  <conditionalFormatting sqref="D18:D19">
    <cfRule type="cellIs" dxfId="7" priority="1" stopIfTrue="1" operator="equal">
      <formula>0</formula>
    </cfRule>
  </conditionalFormatting>
  <conditionalFormatting sqref="D14:E17">
    <cfRule type="cellIs" dxfId="6" priority="2" stopIfTrue="1" operator="equal">
      <formula>0</formula>
    </cfRule>
  </conditionalFormatting>
  <conditionalFormatting sqref="E18">
    <cfRule type="cellIs" dxfId="5" priority="3" stopIfTrue="1" operator="equal">
      <formula>0</formula>
    </cfRule>
  </conditionalFormatting>
  <conditionalFormatting sqref="E24:E34">
    <cfRule type="cellIs" dxfId="4" priority="7" stopIfTrue="1" operator="equal">
      <formula>0</formula>
    </cfRule>
  </conditionalFormatting>
  <conditionalFormatting sqref="E19:F19">
    <cfRule type="cellIs" dxfId="3" priority="8" stopIfTrue="1" operator="equal">
      <formula>0</formula>
    </cfRule>
  </conditionalFormatting>
  <conditionalFormatting sqref="F14:F18">
    <cfRule type="cellIs" dxfId="2" priority="5" stopIfTrue="1" operator="equal">
      <formula>0</formula>
    </cfRule>
  </conditionalFormatting>
  <conditionalFormatting sqref="G14:I19">
    <cfRule type="cellIs" dxfId="1" priority="4" stopIfTrue="1" operator="equal">
      <formula>0</formula>
    </cfRule>
  </conditionalFormatting>
  <conditionalFormatting sqref="H24:H34">
    <cfRule type="cellIs" dxfId="0" priority="6" stopIfTrue="1" operator="equal">
      <formula>0</formula>
    </cfRule>
  </conditionalFormatting>
  <pageMargins left="0.7" right="0.7" top="0.78740157499999996" bottom="0.78740157499999996"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762B9-EE22-41E5-91E2-4BD63A1709D4}">
  <sheetPr>
    <tabColor theme="9" tint="0.79998168889431442"/>
  </sheetPr>
  <dimension ref="A1:O54"/>
  <sheetViews>
    <sheetView showGridLines="0" workbookViewId="0">
      <selection activeCell="I32" sqref="I32"/>
    </sheetView>
  </sheetViews>
  <sheetFormatPr defaultColWidth="11.5703125" defaultRowHeight="12.75"/>
  <cols>
    <col min="1" max="1" width="5.28515625" style="99" customWidth="1"/>
    <col min="2" max="2" width="13.140625" style="99" customWidth="1"/>
    <col min="3" max="3" width="19.7109375" style="99" customWidth="1"/>
    <col min="4" max="4" width="19.42578125" style="99" customWidth="1"/>
    <col min="5" max="5" width="12.85546875" style="99" bestFit="1" customWidth="1"/>
    <col min="6" max="6" width="3.28515625" style="99" customWidth="1"/>
    <col min="7" max="7" width="17.5703125" style="99" customWidth="1"/>
    <col min="8" max="8" width="3.28515625" style="99" customWidth="1"/>
    <col min="9" max="9" width="14.28515625" style="99" customWidth="1"/>
    <col min="10" max="10" width="3.28515625" style="99" customWidth="1"/>
    <col min="11" max="11" width="18.140625" style="99" customWidth="1"/>
    <col min="12" max="12" width="3.28515625" style="99" customWidth="1"/>
    <col min="13" max="13" width="10" style="99" customWidth="1"/>
    <col min="14" max="16384" width="11.5703125" style="99"/>
  </cols>
  <sheetData>
    <row r="1" spans="1:15" ht="18">
      <c r="A1" s="222" t="s">
        <v>236</v>
      </c>
      <c r="B1" s="222"/>
      <c r="C1" s="222"/>
      <c r="D1" s="222"/>
      <c r="E1" s="222"/>
    </row>
    <row r="2" spans="1:15" ht="15">
      <c r="B2" s="223">
        <v>0</v>
      </c>
      <c r="I2" s="224"/>
      <c r="K2" s="224"/>
    </row>
    <row r="3" spans="1:15" ht="15">
      <c r="I3" s="225"/>
    </row>
    <row r="4" spans="1:15" ht="15">
      <c r="A4" s="226"/>
      <c r="B4" s="226"/>
      <c r="C4" s="226"/>
      <c r="E4" s="226"/>
    </row>
    <row r="5" spans="1:15">
      <c r="B5" s="125"/>
      <c r="E5" s="270"/>
    </row>
    <row r="6" spans="1:15">
      <c r="B6" s="125"/>
      <c r="E6" s="271"/>
    </row>
    <row r="7" spans="1:15" ht="15">
      <c r="A7" s="99" t="s">
        <v>237</v>
      </c>
      <c r="B7" s="125" t="s">
        <v>238</v>
      </c>
      <c r="D7" s="126">
        <v>0.25</v>
      </c>
      <c r="E7" s="227">
        <v>0</v>
      </c>
      <c r="F7" s="228"/>
      <c r="G7" s="229"/>
    </row>
    <row r="8" spans="1:15" ht="8.25" customHeight="1">
      <c r="E8" s="230"/>
    </row>
    <row r="9" spans="1:15" ht="15">
      <c r="A9" s="226"/>
      <c r="B9" s="226" t="s">
        <v>239</v>
      </c>
      <c r="C9" s="226"/>
      <c r="E9" s="231">
        <v>0</v>
      </c>
    </row>
    <row r="10" spans="1:15" ht="15">
      <c r="E10" s="232"/>
      <c r="F10" s="233"/>
      <c r="G10" s="232"/>
      <c r="H10" s="233"/>
    </row>
    <row r="11" spans="1:15">
      <c r="E11" s="234"/>
      <c r="N11" s="235" t="s">
        <v>240</v>
      </c>
      <c r="O11" s="235" t="s">
        <v>241</v>
      </c>
    </row>
    <row r="12" spans="1:15" ht="18">
      <c r="A12" s="236" t="s">
        <v>242</v>
      </c>
      <c r="B12" s="236" t="s">
        <v>243</v>
      </c>
      <c r="D12" s="237"/>
      <c r="E12" s="237"/>
      <c r="I12" s="97" t="s">
        <v>244</v>
      </c>
      <c r="K12" s="238">
        <v>45870</v>
      </c>
      <c r="N12" s="235">
        <v>272</v>
      </c>
      <c r="O12" s="235">
        <v>8.9</v>
      </c>
    </row>
    <row r="13" spans="1:15" ht="7.9" customHeight="1"/>
    <row r="14" spans="1:15" ht="15">
      <c r="A14" s="239" t="s">
        <v>245</v>
      </c>
      <c r="B14" s="239" t="s">
        <v>246</v>
      </c>
      <c r="I14" s="97" t="s">
        <v>247</v>
      </c>
      <c r="K14" s="238">
        <v>46142</v>
      </c>
    </row>
    <row r="15" spans="1:15" ht="7.5" customHeight="1"/>
    <row r="16" spans="1:15" s="240" customFormat="1" ht="25.5">
      <c r="B16" s="241" t="s">
        <v>248</v>
      </c>
      <c r="C16" s="242" t="s">
        <v>249</v>
      </c>
      <c r="D16" s="242" t="s">
        <v>250</v>
      </c>
      <c r="E16" s="243" t="s">
        <v>251</v>
      </c>
      <c r="F16" s="242"/>
      <c r="G16" s="242" t="s">
        <v>241</v>
      </c>
      <c r="H16" s="242"/>
      <c r="I16" s="242" t="s">
        <v>252</v>
      </c>
      <c r="J16" s="242"/>
      <c r="K16" s="243" t="s">
        <v>253</v>
      </c>
      <c r="L16" s="242"/>
      <c r="M16" s="243" t="s">
        <v>254</v>
      </c>
    </row>
    <row r="17" spans="1:13">
      <c r="B17" s="244"/>
      <c r="C17" s="245"/>
      <c r="D17" s="245"/>
      <c r="E17" s="246"/>
      <c r="F17" s="247" t="s">
        <v>255</v>
      </c>
      <c r="G17" s="246"/>
      <c r="H17" s="248" t="s">
        <v>255</v>
      </c>
      <c r="I17" s="247" t="s">
        <v>255</v>
      </c>
      <c r="J17" s="247" t="s">
        <v>255</v>
      </c>
      <c r="K17" s="246"/>
      <c r="L17" s="247" t="s">
        <v>255</v>
      </c>
      <c r="M17" s="249" t="s">
        <v>255</v>
      </c>
    </row>
    <row r="18" spans="1:13">
      <c r="B18" s="244"/>
      <c r="C18" s="245"/>
      <c r="D18" s="245"/>
      <c r="E18" s="246"/>
      <c r="F18" s="247" t="s">
        <v>255</v>
      </c>
      <c r="G18" s="246"/>
      <c r="H18" s="248" t="s">
        <v>255</v>
      </c>
      <c r="I18" s="247" t="s">
        <v>255</v>
      </c>
      <c r="J18" s="247" t="s">
        <v>255</v>
      </c>
      <c r="K18" s="246"/>
      <c r="L18" s="247" t="s">
        <v>255</v>
      </c>
      <c r="M18" s="249" t="s">
        <v>255</v>
      </c>
    </row>
    <row r="19" spans="1:13">
      <c r="B19" s="244"/>
      <c r="C19" s="245"/>
      <c r="D19" s="245"/>
      <c r="E19" s="246"/>
      <c r="F19" s="247" t="s">
        <v>255</v>
      </c>
      <c r="G19" s="246"/>
      <c r="H19" s="248" t="s">
        <v>255</v>
      </c>
      <c r="I19" s="247" t="s">
        <v>255</v>
      </c>
      <c r="J19" s="247" t="s">
        <v>255</v>
      </c>
      <c r="K19" s="246"/>
      <c r="L19" s="247" t="s">
        <v>255</v>
      </c>
      <c r="M19" s="249" t="s">
        <v>255</v>
      </c>
    </row>
    <row r="20" spans="1:13">
      <c r="B20" s="244"/>
      <c r="C20" s="245"/>
      <c r="D20" s="245"/>
      <c r="E20" s="246"/>
      <c r="F20" s="247" t="s">
        <v>255</v>
      </c>
      <c r="G20" s="246"/>
      <c r="H20" s="248" t="s">
        <v>255</v>
      </c>
      <c r="I20" s="247" t="s">
        <v>255</v>
      </c>
      <c r="J20" s="247" t="s">
        <v>255</v>
      </c>
      <c r="K20" s="246"/>
      <c r="L20" s="247" t="s">
        <v>255</v>
      </c>
      <c r="M20" s="249" t="s">
        <v>255</v>
      </c>
    </row>
    <row r="21" spans="1:13">
      <c r="B21" s="244"/>
      <c r="C21" s="245"/>
      <c r="D21" s="245"/>
      <c r="E21" s="246"/>
      <c r="F21" s="247" t="s">
        <v>255</v>
      </c>
      <c r="G21" s="246"/>
      <c r="H21" s="248" t="s">
        <v>255</v>
      </c>
      <c r="I21" s="247" t="s">
        <v>255</v>
      </c>
      <c r="J21" s="247" t="s">
        <v>255</v>
      </c>
      <c r="K21" s="246"/>
      <c r="L21" s="247" t="s">
        <v>255</v>
      </c>
      <c r="M21" s="249" t="s">
        <v>255</v>
      </c>
    </row>
    <row r="22" spans="1:13">
      <c r="B22" s="244"/>
      <c r="C22" s="245"/>
      <c r="D22" s="245"/>
      <c r="E22" s="246"/>
      <c r="F22" s="247" t="s">
        <v>255</v>
      </c>
      <c r="G22" s="246"/>
      <c r="H22" s="248" t="s">
        <v>255</v>
      </c>
      <c r="I22" s="247" t="s">
        <v>255</v>
      </c>
      <c r="J22" s="247" t="s">
        <v>255</v>
      </c>
      <c r="K22" s="246"/>
      <c r="L22" s="247" t="s">
        <v>255</v>
      </c>
      <c r="M22" s="249" t="s">
        <v>255</v>
      </c>
    </row>
    <row r="23" spans="1:13">
      <c r="B23" s="244"/>
      <c r="C23" s="245"/>
      <c r="D23" s="245"/>
      <c r="E23" s="246"/>
      <c r="F23" s="247" t="s">
        <v>255</v>
      </c>
      <c r="G23" s="246"/>
      <c r="H23" s="248" t="s">
        <v>255</v>
      </c>
      <c r="I23" s="247" t="s">
        <v>255</v>
      </c>
      <c r="J23" s="247" t="s">
        <v>255</v>
      </c>
      <c r="K23" s="246"/>
      <c r="L23" s="247" t="s">
        <v>255</v>
      </c>
      <c r="M23" s="249" t="s">
        <v>255</v>
      </c>
    </row>
    <row r="24" spans="1:13">
      <c r="B24" s="244"/>
      <c r="C24" s="245"/>
      <c r="D24" s="245"/>
      <c r="E24" s="246"/>
      <c r="F24" s="247" t="s">
        <v>255</v>
      </c>
      <c r="G24" s="246"/>
      <c r="H24" s="248" t="s">
        <v>255</v>
      </c>
      <c r="I24" s="247" t="s">
        <v>255</v>
      </c>
      <c r="J24" s="247" t="s">
        <v>255</v>
      </c>
      <c r="K24" s="246"/>
      <c r="L24" s="247" t="s">
        <v>255</v>
      </c>
      <c r="M24" s="249" t="s">
        <v>255</v>
      </c>
    </row>
    <row r="25" spans="1:13">
      <c r="B25" s="244"/>
      <c r="C25" s="245"/>
      <c r="D25" s="245"/>
      <c r="E25" s="246"/>
      <c r="F25" s="247" t="s">
        <v>255</v>
      </c>
      <c r="G25" s="246"/>
      <c r="H25" s="248" t="s">
        <v>255</v>
      </c>
      <c r="I25" s="247" t="s">
        <v>255</v>
      </c>
      <c r="J25" s="247" t="s">
        <v>255</v>
      </c>
      <c r="K25" s="246"/>
      <c r="L25" s="247" t="s">
        <v>255</v>
      </c>
      <c r="M25" s="249" t="s">
        <v>255</v>
      </c>
    </row>
    <row r="26" spans="1:13">
      <c r="B26" s="244"/>
      <c r="C26" s="245"/>
      <c r="D26" s="245"/>
      <c r="E26" s="246"/>
      <c r="F26" s="247" t="s">
        <v>255</v>
      </c>
      <c r="G26" s="246"/>
      <c r="H26" s="248" t="s">
        <v>255</v>
      </c>
      <c r="I26" s="247" t="s">
        <v>255</v>
      </c>
      <c r="J26" s="247" t="s">
        <v>255</v>
      </c>
      <c r="K26" s="246"/>
      <c r="L26" s="247" t="s">
        <v>255</v>
      </c>
      <c r="M26" s="249" t="s">
        <v>255</v>
      </c>
    </row>
    <row r="27" spans="1:13">
      <c r="B27" s="249"/>
      <c r="C27" s="249"/>
      <c r="D27" s="249"/>
      <c r="E27" s="249">
        <v>0</v>
      </c>
      <c r="F27" s="249"/>
      <c r="G27" s="249"/>
      <c r="H27" s="249"/>
      <c r="I27" s="249"/>
      <c r="J27" s="249"/>
      <c r="K27" s="249" t="s">
        <v>256</v>
      </c>
      <c r="L27" s="249"/>
      <c r="M27" s="250">
        <v>0</v>
      </c>
    </row>
    <row r="28" spans="1:13" ht="15">
      <c r="H28" s="251"/>
      <c r="I28" s="251"/>
      <c r="J28" s="251"/>
      <c r="K28" s="251"/>
      <c r="L28" s="251"/>
    </row>
    <row r="29" spans="1:13" ht="15.75">
      <c r="A29" s="239" t="s">
        <v>257</v>
      </c>
      <c r="B29" s="239" t="s">
        <v>258</v>
      </c>
      <c r="H29" s="251"/>
      <c r="I29" s="251"/>
      <c r="J29" s="251"/>
      <c r="K29" s="251"/>
      <c r="L29" s="251"/>
    </row>
    <row r="30" spans="1:13" ht="15">
      <c r="H30" s="251"/>
      <c r="I30" s="251"/>
      <c r="J30" s="251"/>
      <c r="K30" s="251"/>
      <c r="L30" s="251"/>
    </row>
    <row r="31" spans="1:13" s="240" customFormat="1" ht="45">
      <c r="B31" s="241" t="s">
        <v>248</v>
      </c>
      <c r="C31" s="252" t="s">
        <v>259</v>
      </c>
      <c r="D31" s="252" t="s">
        <v>260</v>
      </c>
      <c r="E31" s="243" t="s">
        <v>251</v>
      </c>
      <c r="F31" s="242"/>
      <c r="G31" s="243" t="s">
        <v>261</v>
      </c>
      <c r="H31" s="242"/>
      <c r="I31" s="242" t="s">
        <v>252</v>
      </c>
      <c r="J31" s="242"/>
      <c r="K31" s="243" t="s">
        <v>253</v>
      </c>
      <c r="L31" s="242"/>
      <c r="M31" s="243" t="s">
        <v>254</v>
      </c>
    </row>
    <row r="32" spans="1:13">
      <c r="B32" s="244"/>
      <c r="C32" s="245"/>
      <c r="D32" s="245"/>
      <c r="E32" s="246"/>
      <c r="F32" s="247" t="s">
        <v>255</v>
      </c>
      <c r="G32" s="246"/>
      <c r="H32" s="248" t="s">
        <v>255</v>
      </c>
      <c r="I32" s="247" t="s">
        <v>255</v>
      </c>
      <c r="J32" s="247" t="s">
        <v>255</v>
      </c>
      <c r="K32" s="246"/>
      <c r="L32" s="247" t="s">
        <v>255</v>
      </c>
      <c r="M32" s="249" t="s">
        <v>255</v>
      </c>
    </row>
    <row r="33" spans="1:14">
      <c r="B33" s="244"/>
      <c r="C33" s="245"/>
      <c r="D33" s="245"/>
      <c r="E33" s="246"/>
      <c r="F33" s="247" t="s">
        <v>255</v>
      </c>
      <c r="G33" s="246"/>
      <c r="H33" s="248" t="s">
        <v>255</v>
      </c>
      <c r="I33" s="247" t="s">
        <v>255</v>
      </c>
      <c r="J33" s="247" t="s">
        <v>255</v>
      </c>
      <c r="K33" s="246"/>
      <c r="L33" s="247" t="s">
        <v>255</v>
      </c>
      <c r="M33" s="249" t="s">
        <v>255</v>
      </c>
    </row>
    <row r="34" spans="1:14">
      <c r="B34" s="244"/>
      <c r="C34" s="245"/>
      <c r="D34" s="245"/>
      <c r="E34" s="246"/>
      <c r="F34" s="247" t="s">
        <v>255</v>
      </c>
      <c r="G34" s="246"/>
      <c r="H34" s="248" t="s">
        <v>255</v>
      </c>
      <c r="I34" s="247" t="s">
        <v>255</v>
      </c>
      <c r="J34" s="247" t="s">
        <v>255</v>
      </c>
      <c r="K34" s="246"/>
      <c r="L34" s="247" t="s">
        <v>255</v>
      </c>
      <c r="M34" s="249" t="s">
        <v>255</v>
      </c>
    </row>
    <row r="35" spans="1:14">
      <c r="B35" s="244"/>
      <c r="C35" s="245"/>
      <c r="D35" s="245"/>
      <c r="E35" s="246"/>
      <c r="F35" s="247" t="s">
        <v>255</v>
      </c>
      <c r="G35" s="246"/>
      <c r="H35" s="248" t="s">
        <v>255</v>
      </c>
      <c r="I35" s="247" t="s">
        <v>255</v>
      </c>
      <c r="J35" s="247" t="s">
        <v>255</v>
      </c>
      <c r="K35" s="246"/>
      <c r="L35" s="247" t="s">
        <v>255</v>
      </c>
      <c r="M35" s="249" t="s">
        <v>255</v>
      </c>
    </row>
    <row r="36" spans="1:14">
      <c r="B36" s="244"/>
      <c r="C36" s="245"/>
      <c r="D36" s="245"/>
      <c r="E36" s="246"/>
      <c r="F36" s="247" t="s">
        <v>255</v>
      </c>
      <c r="G36" s="246"/>
      <c r="H36" s="248" t="s">
        <v>255</v>
      </c>
      <c r="I36" s="247" t="s">
        <v>255</v>
      </c>
      <c r="J36" s="247" t="s">
        <v>255</v>
      </c>
      <c r="K36" s="246"/>
      <c r="L36" s="247" t="s">
        <v>255</v>
      </c>
      <c r="M36" s="249" t="s">
        <v>255</v>
      </c>
    </row>
    <row r="37" spans="1:14">
      <c r="B37" s="249"/>
      <c r="C37" s="249"/>
      <c r="D37" s="249"/>
      <c r="E37" s="249"/>
      <c r="F37" s="249"/>
      <c r="G37" s="249"/>
      <c r="H37" s="249"/>
      <c r="I37" s="249" t="s">
        <v>262</v>
      </c>
      <c r="J37" s="249"/>
      <c r="K37" s="249"/>
      <c r="L37" s="249"/>
      <c r="M37" s="250">
        <v>0</v>
      </c>
    </row>
    <row r="38" spans="1:14" ht="15">
      <c r="H38" s="251"/>
      <c r="I38" s="251"/>
      <c r="J38" s="251"/>
      <c r="K38" s="251"/>
      <c r="L38" s="251"/>
    </row>
    <row r="39" spans="1:14" ht="15">
      <c r="H39" s="251"/>
      <c r="I39" s="251"/>
      <c r="J39" s="251"/>
      <c r="K39" s="251"/>
      <c r="L39" s="251"/>
      <c r="N39" s="253"/>
    </row>
    <row r="40" spans="1:14" ht="18">
      <c r="A40" s="236" t="s">
        <v>237</v>
      </c>
      <c r="B40" s="236" t="s">
        <v>263</v>
      </c>
    </row>
    <row r="41" spans="1:14" ht="15">
      <c r="E41" s="232"/>
      <c r="F41" s="233"/>
      <c r="G41" s="232"/>
      <c r="H41" s="254"/>
    </row>
    <row r="42" spans="1:14" ht="38.25">
      <c r="C42" s="243" t="s">
        <v>264</v>
      </c>
      <c r="D42" s="242"/>
      <c r="E42" s="243" t="s">
        <v>254</v>
      </c>
      <c r="F42" s="242"/>
      <c r="G42" s="255" t="s">
        <v>265</v>
      </c>
      <c r="H42" s="255"/>
      <c r="I42" s="255" t="s">
        <v>266</v>
      </c>
      <c r="K42" s="255" t="s">
        <v>267</v>
      </c>
    </row>
    <row r="43" spans="1:14" s="101" customFormat="1" ht="15">
      <c r="A43" s="281"/>
      <c r="B43" s="281"/>
      <c r="C43" s="256">
        <v>0</v>
      </c>
      <c r="D43" s="247" t="s">
        <v>255</v>
      </c>
      <c r="E43" s="247">
        <v>0</v>
      </c>
      <c r="F43" s="257" t="s">
        <v>255</v>
      </c>
      <c r="G43" s="258">
        <v>0</v>
      </c>
      <c r="H43" s="259" t="s">
        <v>255</v>
      </c>
      <c r="I43" s="260" t="s">
        <v>255</v>
      </c>
      <c r="J43" s="281"/>
      <c r="K43" s="261" t="e">
        <v>#DIV/0!</v>
      </c>
      <c r="L43" s="281"/>
      <c r="M43" s="281"/>
      <c r="N43" s="281"/>
    </row>
    <row r="45" spans="1:14">
      <c r="E45" s="234"/>
    </row>
    <row r="46" spans="1:14" ht="18">
      <c r="A46" s="236" t="s">
        <v>268</v>
      </c>
      <c r="B46" s="236" t="s">
        <v>269</v>
      </c>
    </row>
    <row r="48" spans="1:14" ht="25.5">
      <c r="C48" s="255" t="s">
        <v>270</v>
      </c>
    </row>
    <row r="49" spans="2:14">
      <c r="C49" s="262" t="s">
        <v>255</v>
      </c>
      <c r="D49" s="99" t="s">
        <v>255</v>
      </c>
      <c r="N49" s="103" t="s">
        <v>271</v>
      </c>
    </row>
    <row r="51" spans="2:14">
      <c r="B51" s="99" t="s">
        <v>272</v>
      </c>
    </row>
    <row r="52" spans="2:14">
      <c r="B52" s="99" t="s">
        <v>273</v>
      </c>
    </row>
    <row r="53" spans="2:14">
      <c r="B53" s="99" t="s">
        <v>274</v>
      </c>
    </row>
    <row r="54" spans="2:14">
      <c r="B54" s="99" t="s">
        <v>275</v>
      </c>
    </row>
  </sheetData>
  <sheetProtection algorithmName="SHA-512" hashValue="bIOUIYDn7cTcnN3mjzi/zdQbmMVR+QyBHi9iOThCFIRhN8I/6Ryhbzw7yoL8QuD2YX9BgeVFc7Zjch+tqhdugg==" saltValue="z/nZjBj16ph9oIiO+S4pOg==" spinCount="100000" sheet="1" objects="1" scenarios="1"/>
  <pageMargins left="0.7" right="0.7" top="0.78740157499999996" bottom="0.78740157499999996"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Schulz, David (bpa)</dc:creator>
  <cp:keywords/>
  <dc:description/>
  <cp:lastModifiedBy>Schulz, David (bpa)</cp:lastModifiedBy>
  <cp:revision/>
  <dcterms:created xsi:type="dcterms:W3CDTF">2025-07-16T12:45:45Z</dcterms:created>
  <dcterms:modified xsi:type="dcterms:W3CDTF">2026-04-27T15:30:49Z</dcterms:modified>
  <cp:category/>
  <cp:contentStatus/>
</cp:coreProperties>
</file>