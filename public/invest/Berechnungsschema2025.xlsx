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updateLinks="never" codeName="DieseArbeitsmappe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67B1A10-6D34-48AC-800F-41C9A1596BBC}" xr6:coauthVersionLast="47" xr6:coauthVersionMax="47" xr10:uidLastSave="{00000000-0000-0000-0000-000000000000}"/>
  <bookViews>
    <workbookView xWindow="-28920" yWindow="-120" windowWidth="29040" windowHeight="15840" tabRatio="752" xr2:uid="{00000000-000D-0000-FFFF-FFFF00000000}"/>
  </bookViews>
  <sheets>
    <sheet name="Dateneingabe" sheetId="21" r:id="rId1"/>
    <sheet name="Budgetsteigerung" sheetId="22" r:id="rId2"/>
    <sheet name="DropDown" sheetId="34" r:id="rId3"/>
    <sheet name="Anlage 1" sheetId="30" r:id="rId4"/>
    <sheet name="Pflegeassistenz" sheetId="38" r:id="rId5"/>
    <sheet name="Betreuungskraft" sheetId="40" state="hidden" r:id="rId6"/>
    <sheet name="Export" sheetId="39" r:id="rId7"/>
    <sheet name="Datenexport" sheetId="41" state="hidden" r:id="rId8"/>
  </sheets>
  <externalReferences>
    <externalReference r:id="rId9"/>
  </externalReferences>
  <definedNames>
    <definedName name="Die_Vergütung_aller_Mitarbeiter_erfolgt_derzeit_nach_dem_Tarif">Dateneingabe!$A$100</definedName>
    <definedName name="_xlnm.Print_Area" localSheetId="0">Dateneingabe!$A:$G</definedName>
    <definedName name="Marco_Besse">#REF!</definedName>
    <definedName name="Tarifvertrag">Dateneingabe!$N$3:$N$12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22" l="1"/>
  <c r="H57" i="22"/>
  <c r="H56" i="22"/>
  <c r="H55" i="22"/>
  <c r="C64" i="22" l="1"/>
  <c r="P2" i="41"/>
  <c r="K2" i="41"/>
  <c r="J2" i="41"/>
  <c r="I2" i="41"/>
  <c r="H2" i="41"/>
  <c r="G2" i="41"/>
  <c r="F2" i="41"/>
  <c r="E2" i="41"/>
  <c r="D2" i="41"/>
  <c r="C2" i="41"/>
  <c r="B2" i="41"/>
  <c r="A2" i="41"/>
  <c r="L2" i="41"/>
  <c r="A147" i="39" l="1"/>
  <c r="A146" i="39"/>
  <c r="A145" i="39"/>
  <c r="A144" i="39"/>
  <c r="A143" i="39"/>
  <c r="A142" i="39"/>
  <c r="A141" i="39"/>
  <c r="A140" i="39"/>
  <c r="A139" i="39"/>
  <c r="A138" i="39"/>
  <c r="A137" i="39"/>
  <c r="A135" i="39"/>
  <c r="A134" i="39"/>
  <c r="A133" i="39"/>
  <c r="A132" i="39"/>
  <c r="A131" i="39"/>
  <c r="A130" i="39"/>
  <c r="A129" i="39"/>
  <c r="A128" i="39"/>
  <c r="A127" i="39"/>
  <c r="A126" i="39"/>
  <c r="A125" i="39"/>
  <c r="A123" i="39"/>
  <c r="A122" i="39"/>
  <c r="A121" i="39"/>
  <c r="A120" i="39"/>
  <c r="A119" i="39"/>
  <c r="A118" i="39"/>
  <c r="A116" i="39"/>
  <c r="A115" i="39"/>
  <c r="A114" i="39"/>
  <c r="A113" i="39"/>
  <c r="A112" i="39"/>
  <c r="A111" i="39"/>
  <c r="A109" i="39"/>
  <c r="A108" i="39"/>
  <c r="A107" i="39"/>
  <c r="A106" i="39"/>
  <c r="A105" i="39"/>
  <c r="A104" i="39"/>
  <c r="A102" i="39"/>
  <c r="A101" i="39"/>
  <c r="A100" i="39"/>
  <c r="A99" i="39"/>
  <c r="A98" i="39"/>
  <c r="A97" i="39"/>
  <c r="A91" i="39"/>
  <c r="A89" i="39"/>
  <c r="A88" i="39"/>
  <c r="A86" i="39"/>
  <c r="A85" i="39"/>
  <c r="A82" i="39"/>
  <c r="A79" i="39"/>
  <c r="A78" i="39"/>
  <c r="A77" i="39"/>
  <c r="A76" i="39"/>
  <c r="A75" i="39"/>
  <c r="A72" i="39"/>
  <c r="A71" i="39"/>
  <c r="A70" i="39"/>
  <c r="A69" i="39"/>
  <c r="A68" i="39"/>
  <c r="A67" i="39"/>
  <c r="A66" i="39"/>
  <c r="A65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6" i="39"/>
  <c r="A35" i="39"/>
  <c r="A34" i="39"/>
  <c r="A33" i="39"/>
  <c r="A32" i="39"/>
  <c r="A30" i="39"/>
  <c r="A29" i="39"/>
  <c r="A28" i="39"/>
  <c r="A27" i="39"/>
  <c r="A26" i="39"/>
  <c r="A25" i="39"/>
  <c r="A23" i="39"/>
  <c r="A22" i="39"/>
  <c r="A21" i="39"/>
  <c r="A20" i="39"/>
  <c r="A18" i="39"/>
  <c r="A16" i="39"/>
  <c r="A14" i="39"/>
  <c r="A13" i="39"/>
  <c r="A11" i="39"/>
  <c r="A10" i="39"/>
  <c r="A9" i="39"/>
  <c r="A8" i="39"/>
  <c r="A6" i="39"/>
  <c r="A5" i="39"/>
  <c r="A4" i="39"/>
  <c r="A3" i="39"/>
  <c r="G12" i="30" l="1"/>
  <c r="D12" i="30"/>
  <c r="I48" i="40" l="1"/>
  <c r="I47" i="40"/>
  <c r="I37" i="40"/>
  <c r="I36" i="40"/>
  <c r="E23" i="40"/>
  <c r="E22" i="40"/>
  <c r="E11" i="40"/>
  <c r="E10" i="40"/>
  <c r="E12" i="40" s="1"/>
  <c r="G9" i="40"/>
  <c r="G12" i="40" s="1"/>
  <c r="I12" i="40" l="1"/>
  <c r="I14" i="40" s="1"/>
  <c r="G21" i="40"/>
  <c r="G23" i="40" s="1"/>
  <c r="I23" i="40" s="1"/>
  <c r="I25" i="40" s="1"/>
  <c r="I43" i="40" l="1"/>
  <c r="I44" i="40"/>
  <c r="I45" i="40"/>
  <c r="I46" i="40"/>
  <c r="I33" i="40"/>
  <c r="I32" i="40"/>
  <c r="I35" i="40"/>
  <c r="I34" i="40"/>
  <c r="I38" i="40" l="1"/>
  <c r="I49" i="40"/>
  <c r="I56" i="40" s="1"/>
  <c r="G46" i="22" l="1"/>
  <c r="G44" i="22"/>
  <c r="G45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12" i="22"/>
  <c r="T27" i="22" l="1"/>
  <c r="T26" i="22"/>
  <c r="T44" i="22" l="1"/>
  <c r="T12" i="22"/>
  <c r="T45" i="22"/>
  <c r="T46" i="22"/>
  <c r="W43" i="22" l="1"/>
  <c r="W42" i="22"/>
  <c r="W41" i="22"/>
  <c r="W40" i="22"/>
  <c r="W39" i="22"/>
  <c r="W38" i="22"/>
  <c r="W37" i="22"/>
  <c r="W36" i="22"/>
  <c r="W35" i="22"/>
  <c r="W34" i="22"/>
  <c r="W33" i="22"/>
  <c r="W32" i="22"/>
  <c r="W31" i="22"/>
  <c r="W30" i="22"/>
  <c r="W29" i="22"/>
  <c r="W28" i="22"/>
  <c r="W25" i="22"/>
  <c r="W24" i="22"/>
  <c r="W23" i="22"/>
  <c r="W22" i="22"/>
  <c r="W21" i="22"/>
  <c r="W20" i="22"/>
  <c r="W19" i="22"/>
  <c r="W18" i="22"/>
  <c r="W17" i="22"/>
  <c r="W16" i="22"/>
  <c r="W15" i="22"/>
  <c r="W14" i="22"/>
  <c r="W13" i="22"/>
  <c r="W12" i="22"/>
  <c r="W46" i="22"/>
  <c r="W45" i="22"/>
  <c r="W44" i="22"/>
  <c r="W27" i="22"/>
  <c r="W26" i="22"/>
  <c r="A2" i="30" l="1"/>
  <c r="J25" i="30" l="1"/>
  <c r="J26" i="30"/>
  <c r="J27" i="30"/>
  <c r="J28" i="30"/>
  <c r="J29" i="30"/>
  <c r="J30" i="30"/>
  <c r="J31" i="30"/>
  <c r="J32" i="30"/>
  <c r="J33" i="30"/>
  <c r="J34" i="30"/>
  <c r="J24" i="30"/>
  <c r="B2" i="38"/>
  <c r="I14" i="30"/>
  <c r="C4" i="22" l="1"/>
  <c r="C5" i="22"/>
  <c r="C6" i="22"/>
  <c r="N26" i="22" l="1"/>
  <c r="E27" i="38"/>
  <c r="K14" i="38" l="1"/>
  <c r="K12" i="38"/>
  <c r="M36" i="38"/>
  <c r="L36" i="38"/>
  <c r="J36" i="38"/>
  <c r="I36" i="38"/>
  <c r="H36" i="38"/>
  <c r="F36" i="38"/>
  <c r="M35" i="38"/>
  <c r="L35" i="38"/>
  <c r="J35" i="38"/>
  <c r="I35" i="38"/>
  <c r="H35" i="38"/>
  <c r="F35" i="38"/>
  <c r="M34" i="38"/>
  <c r="L34" i="38"/>
  <c r="J34" i="38"/>
  <c r="I34" i="38"/>
  <c r="H34" i="38"/>
  <c r="F34" i="38"/>
  <c r="L33" i="38"/>
  <c r="J33" i="38"/>
  <c r="I33" i="38"/>
  <c r="M33" i="38" s="1"/>
  <c r="H33" i="38"/>
  <c r="F33" i="38"/>
  <c r="L32" i="38"/>
  <c r="J32" i="38"/>
  <c r="I32" i="38"/>
  <c r="M32" i="38" s="1"/>
  <c r="H32" i="38"/>
  <c r="F32" i="38"/>
  <c r="M26" i="38"/>
  <c r="L26" i="38"/>
  <c r="J26" i="38"/>
  <c r="I26" i="38"/>
  <c r="H26" i="38"/>
  <c r="F26" i="38"/>
  <c r="M25" i="38"/>
  <c r="L25" i="38"/>
  <c r="J25" i="38"/>
  <c r="I25" i="38"/>
  <c r="H25" i="38"/>
  <c r="F25" i="38"/>
  <c r="M24" i="38"/>
  <c r="L24" i="38"/>
  <c r="J24" i="38"/>
  <c r="I24" i="38"/>
  <c r="H24" i="38"/>
  <c r="F24" i="38"/>
  <c r="M23" i="38"/>
  <c r="L23" i="38"/>
  <c r="J23" i="38"/>
  <c r="I23" i="38"/>
  <c r="H23" i="38"/>
  <c r="F23" i="38"/>
  <c r="M22" i="38"/>
  <c r="L22" i="38"/>
  <c r="J22" i="38"/>
  <c r="I22" i="38"/>
  <c r="H22" i="38"/>
  <c r="F22" i="38"/>
  <c r="M21" i="38"/>
  <c r="L21" i="38"/>
  <c r="J21" i="38"/>
  <c r="I21" i="38"/>
  <c r="H21" i="38"/>
  <c r="F21" i="38"/>
  <c r="M20" i="38"/>
  <c r="L20" i="38"/>
  <c r="J20" i="38"/>
  <c r="I20" i="38"/>
  <c r="H20" i="38"/>
  <c r="F20" i="38"/>
  <c r="L19" i="38"/>
  <c r="J19" i="38"/>
  <c r="I19" i="38"/>
  <c r="M19" i="38" s="1"/>
  <c r="H19" i="38"/>
  <c r="F19" i="38"/>
  <c r="L18" i="38"/>
  <c r="J18" i="38"/>
  <c r="I18" i="38"/>
  <c r="M18" i="38" s="1"/>
  <c r="H18" i="38"/>
  <c r="F18" i="38"/>
  <c r="L17" i="38"/>
  <c r="J17" i="38"/>
  <c r="I17" i="38"/>
  <c r="M17" i="38" s="1"/>
  <c r="H17" i="38"/>
  <c r="F17" i="38"/>
  <c r="D7" i="38"/>
  <c r="E6" i="38"/>
  <c r="N12" i="38" l="1"/>
  <c r="O12" i="38" s="1"/>
  <c r="E7" i="38"/>
  <c r="E9" i="38" s="1"/>
  <c r="M27" i="38"/>
  <c r="M37" i="38" s="1"/>
  <c r="E43" i="38" s="1"/>
  <c r="C43" i="38" l="1"/>
  <c r="H43" i="38" s="1"/>
  <c r="X26" i="22"/>
  <c r="X27" i="22"/>
  <c r="E51" i="22"/>
  <c r="F64" i="22" l="1"/>
  <c r="F57" i="22"/>
  <c r="F56" i="22"/>
  <c r="F66" i="22"/>
  <c r="F55" i="22"/>
  <c r="F65" i="22"/>
  <c r="F43" i="38"/>
  <c r="D43" i="38"/>
  <c r="B47" i="22"/>
  <c r="C56" i="22"/>
  <c r="C55" i="22"/>
  <c r="F14" i="30"/>
  <c r="J14" i="30" s="1"/>
  <c r="H20" i="30"/>
  <c r="G20" i="30"/>
  <c r="E20" i="30"/>
  <c r="D20" i="30"/>
  <c r="M2" i="41" l="1"/>
  <c r="Q46" i="22"/>
  <c r="Q14" i="22"/>
  <c r="Q18" i="22"/>
  <c r="Q22" i="22"/>
  <c r="Q28" i="22"/>
  <c r="Q32" i="22"/>
  <c r="Q36" i="22"/>
  <c r="Q40" i="22"/>
  <c r="Q12" i="22"/>
  <c r="Q44" i="22"/>
  <c r="Q15" i="22"/>
  <c r="Q19" i="22"/>
  <c r="Q23" i="22"/>
  <c r="Q29" i="22"/>
  <c r="Q33" i="22"/>
  <c r="Q37" i="22"/>
  <c r="Q41" i="22"/>
  <c r="Q13" i="22"/>
  <c r="Q21" i="22"/>
  <c r="Q31" i="22"/>
  <c r="Q39" i="22"/>
  <c r="Q16" i="22"/>
  <c r="Q20" i="22"/>
  <c r="Q24" i="22"/>
  <c r="Q30" i="22"/>
  <c r="Q34" i="22"/>
  <c r="Q38" i="22"/>
  <c r="Q42" i="22"/>
  <c r="Q45" i="22"/>
  <c r="Q17" i="22"/>
  <c r="Q25" i="22"/>
  <c r="Q35" i="22"/>
  <c r="Q43" i="22"/>
  <c r="N2" i="41"/>
  <c r="Q26" i="22"/>
  <c r="R26" i="22" s="1"/>
  <c r="O2" i="41"/>
  <c r="Q27" i="22"/>
  <c r="T15" i="22" l="1"/>
  <c r="T19" i="22"/>
  <c r="T42" i="22"/>
  <c r="T20" i="22"/>
  <c r="T36" i="22"/>
  <c r="T13" i="22"/>
  <c r="T30" i="22"/>
  <c r="T22" i="22"/>
  <c r="T14" i="22"/>
  <c r="T43" i="22"/>
  <c r="T37" i="22"/>
  <c r="T31" i="22"/>
  <c r="T25" i="22"/>
  <c r="T18" i="22"/>
  <c r="T40" i="22"/>
  <c r="T34" i="22"/>
  <c r="T41" i="22"/>
  <c r="T35" i="22"/>
  <c r="T29" i="22"/>
  <c r="T24" i="22"/>
  <c r="T17" i="22"/>
  <c r="T39" i="22"/>
  <c r="T33" i="22"/>
  <c r="T23" i="22"/>
  <c r="T16" i="22"/>
  <c r="T28" i="22"/>
  <c r="T38" i="22"/>
  <c r="T32" i="22"/>
  <c r="T21" i="22"/>
  <c r="E2" i="30" l="1"/>
  <c r="D85" i="21" l="1"/>
  <c r="A80" i="39" s="1"/>
  <c r="D88" i="21" l="1"/>
  <c r="A83" i="39" s="1"/>
  <c r="G31" i="21"/>
  <c r="G24" i="21"/>
  <c r="G74" i="21" s="1"/>
  <c r="H35" i="30" l="1"/>
  <c r="E35" i="30"/>
  <c r="I19" i="30"/>
  <c r="F19" i="30"/>
  <c r="I18" i="30"/>
  <c r="F18" i="30"/>
  <c r="I17" i="30"/>
  <c r="F17" i="30"/>
  <c r="I16" i="30"/>
  <c r="F16" i="30"/>
  <c r="I15" i="30"/>
  <c r="F15" i="30"/>
  <c r="X46" i="22"/>
  <c r="X44" i="22"/>
  <c r="X42" i="22"/>
  <c r="X40" i="22"/>
  <c r="X38" i="22"/>
  <c r="X36" i="22"/>
  <c r="X34" i="22"/>
  <c r="X32" i="22"/>
  <c r="X30" i="22"/>
  <c r="X28" i="22"/>
  <c r="X25" i="22"/>
  <c r="X24" i="22"/>
  <c r="X23" i="22"/>
  <c r="X22" i="22"/>
  <c r="X21" i="22"/>
  <c r="X20" i="22"/>
  <c r="X19" i="22"/>
  <c r="X18" i="22"/>
  <c r="X17" i="22"/>
  <c r="X16" i="22"/>
  <c r="X15" i="22"/>
  <c r="X14" i="22"/>
  <c r="X13" i="22"/>
  <c r="X12" i="22"/>
  <c r="E11" i="22"/>
  <c r="C11" i="22"/>
  <c r="X45" i="22" l="1"/>
  <c r="X43" i="22"/>
  <c r="X41" i="22"/>
  <c r="X39" i="22"/>
  <c r="X37" i="22"/>
  <c r="X35" i="22"/>
  <c r="X33" i="22"/>
  <c r="X31" i="22"/>
  <c r="X29" i="22"/>
  <c r="J17" i="30"/>
  <c r="J19" i="30"/>
  <c r="J18" i="30"/>
  <c r="J16" i="30"/>
  <c r="J15" i="30"/>
  <c r="M30" i="22"/>
  <c r="H13" i="22"/>
  <c r="O13" i="22" s="1"/>
  <c r="H26" i="22"/>
  <c r="O26" i="22" s="1"/>
  <c r="H27" i="22"/>
  <c r="O27" i="22" s="1"/>
  <c r="I20" i="30"/>
  <c r="H37" i="30"/>
  <c r="I35" i="30" s="1"/>
  <c r="M40" i="22"/>
  <c r="M24" i="22"/>
  <c r="M17" i="22"/>
  <c r="M23" i="22"/>
  <c r="M42" i="22"/>
  <c r="M25" i="22"/>
  <c r="M14" i="22"/>
  <c r="M20" i="22"/>
  <c r="M28" i="22"/>
  <c r="M36" i="22"/>
  <c r="M44" i="22"/>
  <c r="M32" i="22"/>
  <c r="M18" i="22"/>
  <c r="M13" i="22"/>
  <c r="M21" i="22"/>
  <c r="M16" i="22"/>
  <c r="M12" i="22"/>
  <c r="M34" i="22"/>
  <c r="M19" i="22"/>
  <c r="M15" i="22"/>
  <c r="M22" i="22"/>
  <c r="M38" i="22"/>
  <c r="M46" i="22"/>
  <c r="E37" i="30"/>
  <c r="F35" i="30" s="1"/>
  <c r="F20" i="30"/>
  <c r="H21" i="22"/>
  <c r="O21" i="22" s="1"/>
  <c r="H39" i="22"/>
  <c r="O39" i="22" s="1"/>
  <c r="H15" i="22"/>
  <c r="O15" i="22" s="1"/>
  <c r="H34" i="22"/>
  <c r="O34" i="22" s="1"/>
  <c r="H31" i="22"/>
  <c r="O31" i="22" s="1"/>
  <c r="H12" i="22"/>
  <c r="O12" i="22" s="1"/>
  <c r="H16" i="22"/>
  <c r="O16" i="22" s="1"/>
  <c r="H42" i="22"/>
  <c r="O42" i="22" s="1"/>
  <c r="H24" i="22"/>
  <c r="O24" i="22" s="1"/>
  <c r="H44" i="22"/>
  <c r="O44" i="22" s="1"/>
  <c r="H41" i="22"/>
  <c r="O41" i="22" s="1"/>
  <c r="H36" i="22"/>
  <c r="O36" i="22" s="1"/>
  <c r="H33" i="22"/>
  <c r="O33" i="22" s="1"/>
  <c r="H28" i="22"/>
  <c r="O28" i="22" s="1"/>
  <c r="H23" i="22"/>
  <c r="O23" i="22" s="1"/>
  <c r="H18" i="22"/>
  <c r="O18" i="22" s="1"/>
  <c r="H14" i="22"/>
  <c r="O14" i="22" s="1"/>
  <c r="N27" i="22"/>
  <c r="H46" i="22"/>
  <c r="O46" i="22" s="1"/>
  <c r="H43" i="22"/>
  <c r="O43" i="22" s="1"/>
  <c r="H38" i="22"/>
  <c r="O38" i="22" s="1"/>
  <c r="H35" i="22"/>
  <c r="O35" i="22" s="1"/>
  <c r="H30" i="22"/>
  <c r="H25" i="22"/>
  <c r="O25" i="22" s="1"/>
  <c r="H20" i="22"/>
  <c r="O20" i="22" s="1"/>
  <c r="H17" i="22"/>
  <c r="O17" i="22" s="1"/>
  <c r="H45" i="22"/>
  <c r="O45" i="22" s="1"/>
  <c r="H40" i="22"/>
  <c r="O40" i="22" s="1"/>
  <c r="H37" i="22"/>
  <c r="O37" i="22" s="1"/>
  <c r="H32" i="22"/>
  <c r="O32" i="22" s="1"/>
  <c r="H29" i="22"/>
  <c r="O29" i="22" s="1"/>
  <c r="H22" i="22"/>
  <c r="O22" i="22" s="1"/>
  <c r="H19" i="22"/>
  <c r="O19" i="22" s="1"/>
  <c r="U27" i="22"/>
  <c r="U26" i="22"/>
  <c r="M31" i="22"/>
  <c r="M39" i="22"/>
  <c r="M37" i="22"/>
  <c r="M45" i="22"/>
  <c r="M29" i="22"/>
  <c r="M35" i="22"/>
  <c r="M43" i="22"/>
  <c r="M33" i="22"/>
  <c r="M41" i="22"/>
  <c r="X47" i="22" l="1"/>
  <c r="J20" i="30"/>
  <c r="M47" i="22"/>
  <c r="N47" i="22"/>
  <c r="O30" i="22"/>
  <c r="U14" i="22"/>
  <c r="U25" i="22"/>
  <c r="U30" i="22"/>
  <c r="U38" i="22"/>
  <c r="U43" i="22"/>
  <c r="U28" i="22"/>
  <c r="U19" i="22"/>
  <c r="U23" i="22"/>
  <c r="U34" i="22"/>
  <c r="U17" i="22"/>
  <c r="U12" i="22"/>
  <c r="U41" i="22"/>
  <c r="U33" i="22"/>
  <c r="U20" i="22"/>
  <c r="U29" i="22"/>
  <c r="U40" i="22"/>
  <c r="U32" i="22"/>
  <c r="U13" i="22"/>
  <c r="U46" i="22"/>
  <c r="U22" i="22"/>
  <c r="U42" i="22"/>
  <c r="U45" i="22"/>
  <c r="U44" i="22"/>
  <c r="U37" i="22"/>
  <c r="U36" i="22"/>
  <c r="U35" i="22"/>
  <c r="U31" i="22"/>
  <c r="U21" i="22"/>
  <c r="U24" i="22"/>
  <c r="U39" i="22"/>
  <c r="U18" i="22"/>
  <c r="U16" i="22"/>
  <c r="U15" i="22"/>
  <c r="G43" i="38" l="1"/>
  <c r="K43" i="38" s="1"/>
  <c r="I54" i="40"/>
  <c r="O47" i="22"/>
  <c r="U47" i="22"/>
  <c r="I59" i="40" l="1"/>
  <c r="I58" i="40"/>
  <c r="I43" i="38"/>
  <c r="N49" i="38" s="1"/>
  <c r="X48" i="22"/>
  <c r="X49" i="22"/>
  <c r="U49" i="22"/>
  <c r="U48" i="22"/>
  <c r="I64" i="40" l="1"/>
  <c r="R2" i="41" s="1"/>
  <c r="C49" i="38"/>
  <c r="R27" i="22"/>
  <c r="R43" i="22"/>
  <c r="R12" i="22"/>
  <c r="R23" i="22"/>
  <c r="R30" i="22"/>
  <c r="R36" i="22"/>
  <c r="R21" i="22"/>
  <c r="R44" i="22"/>
  <c r="R13" i="22"/>
  <c r="R29" i="22"/>
  <c r="R16" i="22"/>
  <c r="R25" i="22"/>
  <c r="R33" i="22"/>
  <c r="R42" i="22"/>
  <c r="R39" i="22"/>
  <c r="R40" i="22"/>
  <c r="R18" i="22"/>
  <c r="R15" i="22"/>
  <c r="R22" i="22"/>
  <c r="R14" i="22"/>
  <c r="R41" i="22"/>
  <c r="R24" i="22"/>
  <c r="R32" i="22"/>
  <c r="R38" i="22"/>
  <c r="R28" i="22"/>
  <c r="R37" i="22"/>
  <c r="R45" i="22"/>
  <c r="R19" i="22"/>
  <c r="R17" i="22"/>
  <c r="R20" i="22"/>
  <c r="R35" i="22"/>
  <c r="R34" i="22"/>
  <c r="R46" i="22"/>
  <c r="R31" i="22"/>
  <c r="D49" i="38" l="1"/>
  <c r="Q2" i="41"/>
  <c r="R47" i="22"/>
  <c r="R49" i="22" s="1"/>
  <c r="R48" i="22" l="1"/>
</calcChain>
</file>

<file path=xl/sharedStrings.xml><?xml version="1.0" encoding="utf-8"?>
<sst xmlns="http://schemas.openxmlformats.org/spreadsheetml/2006/main" count="672" uniqueCount="441">
  <si>
    <t>Name und Anschrift der Einrichtung</t>
  </si>
  <si>
    <t>Name und Anschrift des Trägers</t>
  </si>
  <si>
    <t>von</t>
  </si>
  <si>
    <t>bis</t>
  </si>
  <si>
    <t>Erhebungszeitraum</t>
  </si>
  <si>
    <t>Punktwert</t>
  </si>
  <si>
    <t>LK 15</t>
  </si>
  <si>
    <t>Forderung</t>
  </si>
  <si>
    <t>Durchschnittlich versorgte Pflegebedürftige im Erhebungszeitraum</t>
  </si>
  <si>
    <t>Gesamt</t>
  </si>
  <si>
    <t>Nr.</t>
  </si>
  <si>
    <t>Komplex</t>
  </si>
  <si>
    <t>Anzahl</t>
  </si>
  <si>
    <t>Ganzwaschung</t>
  </si>
  <si>
    <t>Teilwaschung</t>
  </si>
  <si>
    <t>Ausscheidungen</t>
  </si>
  <si>
    <t>selbst. Nahrungsaufn.</t>
  </si>
  <si>
    <t>Hilfe Nahrungsaufn.</t>
  </si>
  <si>
    <t>Sondenern. (PEG)</t>
  </si>
  <si>
    <t>Mobilisation</t>
  </si>
  <si>
    <t>Behördeng. Arztbes.</t>
  </si>
  <si>
    <t>Beheizen</t>
  </si>
  <si>
    <t>Einkaufen</t>
  </si>
  <si>
    <t>Zubereitung warme Sp.</t>
  </si>
  <si>
    <t>Reinigung Wohnung</t>
  </si>
  <si>
    <t>Wäsche</t>
  </si>
  <si>
    <t>Hausbes.-pauschale</t>
  </si>
  <si>
    <t>erhöhte Besuchsp.</t>
  </si>
  <si>
    <t>Erstgespräch</t>
  </si>
  <si>
    <t>Große Grundpflege 1</t>
  </si>
  <si>
    <t>Kleine Grundpflege 1</t>
  </si>
  <si>
    <t>Kleine Grundpflege 2</t>
  </si>
  <si>
    <t>Große hausw. Vers.</t>
  </si>
  <si>
    <t>Große Grundpflege 3</t>
  </si>
  <si>
    <t>Große Grundpflege 4</t>
  </si>
  <si>
    <t>Kleine Grundpflege 3</t>
  </si>
  <si>
    <t>Pflegedienst</t>
  </si>
  <si>
    <t>dazu gehören</t>
  </si>
  <si>
    <t xml:space="preserve">angelernte Hilfskräfte </t>
  </si>
  <si>
    <t>Leitung und Verwaltungskräfte</t>
  </si>
  <si>
    <t>Auszubildende Pflege</t>
  </si>
  <si>
    <t>letzte Vereinbarung</t>
  </si>
  <si>
    <t>Punktwert:</t>
  </si>
  <si>
    <t>Summe</t>
  </si>
  <si>
    <t>Hausbesuchspauschale</t>
  </si>
  <si>
    <t>LK 15a</t>
  </si>
  <si>
    <t>Große Grundpflege</t>
  </si>
  <si>
    <t>Kleine Grundpflege</t>
  </si>
  <si>
    <t>abgeschlossenes Geschäftsjahr</t>
  </si>
  <si>
    <t>VK</t>
  </si>
  <si>
    <t>Wirtschaftsbedarf</t>
  </si>
  <si>
    <t>Verwaltungsbedarf</t>
  </si>
  <si>
    <t>Aufwendungen Fahrzeuge</t>
  </si>
  <si>
    <t>Verbrauchsgüter</t>
  </si>
  <si>
    <t>Steuern, Abgaben, Versicherungen</t>
  </si>
  <si>
    <t>Qualitätssicherung</t>
  </si>
  <si>
    <t>Qualifikation</t>
  </si>
  <si>
    <t>1.</t>
  </si>
  <si>
    <t>Tage</t>
  </si>
  <si>
    <t>2.</t>
  </si>
  <si>
    <t>3.</t>
  </si>
  <si>
    <t>4.</t>
  </si>
  <si>
    <t>Hilfe bei der Nahrungsaufnahme</t>
  </si>
  <si>
    <t>Sondenernährung</t>
  </si>
  <si>
    <t>Behördengänge und Arztbesuche</t>
  </si>
  <si>
    <t>Fremdleistungen Verwaltung</t>
  </si>
  <si>
    <t>Fremdleistungen Pflege</t>
  </si>
  <si>
    <t>Kleine pflegerische Hilfestellung 2</t>
  </si>
  <si>
    <t>Kleine pflegerische Hilfestellung 3</t>
  </si>
  <si>
    <t>Kleine pflegerische Hilfestellung 4</t>
  </si>
  <si>
    <t>15 a</t>
  </si>
  <si>
    <t>A. Angabe der Grunddaten</t>
  </si>
  <si>
    <t>IK-Nummer</t>
  </si>
  <si>
    <t>Kreis / kreisfreie Stadt:</t>
  </si>
  <si>
    <t>Mitglied im Verband:</t>
  </si>
  <si>
    <t>Erhebungszeitraum (letztes abgeschlossenes Geschäftsjahr):</t>
  </si>
  <si>
    <t>Vereinbarungszeitraum:</t>
  </si>
  <si>
    <t>Punktwert*</t>
  </si>
  <si>
    <t>B. Angabe der Leistungen im Bereich SGB XI</t>
  </si>
  <si>
    <t>(durchschnittliche Anzahl der Kunden p.a.)</t>
  </si>
  <si>
    <t>(nur die Kunden zählen anteilig, die mindestens an einem Tag in einem Kalendermonat Pflegesachleistungen (ohne § 37 Abs. 3) erhalten haben)</t>
  </si>
  <si>
    <t>Pflegegrade</t>
  </si>
  <si>
    <t>Leistungen</t>
  </si>
  <si>
    <t>P01</t>
  </si>
  <si>
    <t>P02</t>
  </si>
  <si>
    <t>P03</t>
  </si>
  <si>
    <t>P04</t>
  </si>
  <si>
    <t>selbständige Nahrungsaufnahme</t>
  </si>
  <si>
    <t>P05</t>
  </si>
  <si>
    <t>P06</t>
  </si>
  <si>
    <t>P07</t>
  </si>
  <si>
    <t>Lagern / Betten</t>
  </si>
  <si>
    <t>P08</t>
  </si>
  <si>
    <t>P09</t>
  </si>
  <si>
    <t>P10</t>
  </si>
  <si>
    <t>Beheizen des Wohnbereichs</t>
  </si>
  <si>
    <t>P11</t>
  </si>
  <si>
    <t>P12</t>
  </si>
  <si>
    <t>Zubereiten von warmen Mahlzeiten</t>
  </si>
  <si>
    <t>P13</t>
  </si>
  <si>
    <t>Reinigung der Wohnung</t>
  </si>
  <si>
    <t>P14</t>
  </si>
  <si>
    <t>Waschen u. Pflegen der Wäsche / Kleidung</t>
  </si>
  <si>
    <t>P15</t>
  </si>
  <si>
    <t>P15a</t>
  </si>
  <si>
    <t>Erhöhte Hausbesuchspauschale</t>
  </si>
  <si>
    <t>P16</t>
  </si>
  <si>
    <t>P16 a</t>
  </si>
  <si>
    <t>Folgegespräch</t>
  </si>
  <si>
    <t>P17</t>
  </si>
  <si>
    <t>P18</t>
  </si>
  <si>
    <t>Große Grundpfl. m. Lagern/selbst. Nahr.aufn.</t>
  </si>
  <si>
    <t>P19</t>
  </si>
  <si>
    <t>P20</t>
  </si>
  <si>
    <t>Kleine Grundpfl. m. Lagern/selbst. Nahr.aufn.</t>
  </si>
  <si>
    <t>P21</t>
  </si>
  <si>
    <t>P22</t>
  </si>
  <si>
    <t>Große hauswirtschaftliche Versorgung</t>
  </si>
  <si>
    <t>P23</t>
  </si>
  <si>
    <t>Große Grundpfl. m. Lagern</t>
  </si>
  <si>
    <t>P24</t>
  </si>
  <si>
    <t>Große Grundpfl. m. Lagern/Hilfe. Nahr.aufn.</t>
  </si>
  <si>
    <t>P25</t>
  </si>
  <si>
    <t>Kleine Grundpfl. m. Lagern</t>
  </si>
  <si>
    <t>P26</t>
  </si>
  <si>
    <t>Kleine Grundpfl. m. Lagern/Hilfe.Nahr.aufn.</t>
  </si>
  <si>
    <t>P27</t>
  </si>
  <si>
    <t xml:space="preserve">Kleine pflegerische Hilfestellung 1 </t>
  </si>
  <si>
    <t>P28</t>
  </si>
  <si>
    <t>P29</t>
  </si>
  <si>
    <t>P30</t>
  </si>
  <si>
    <t>P31</t>
  </si>
  <si>
    <t>Pflegerische Betreuung**</t>
  </si>
  <si>
    <t>P32</t>
  </si>
  <si>
    <t>Hilfe bei der Sicherstellung der selbstverantworteten Haushaltsführung**</t>
  </si>
  <si>
    <t xml:space="preserve">** Anzahl der Minuten im Jahr </t>
  </si>
  <si>
    <t>C. Angabe zur Personalstruktur</t>
  </si>
  <si>
    <t xml:space="preserve">(Ø der Mitarbeiter(innen) - jeweils am Monatsende - ausschließlich die Stellenanteile, die die unter B. </t>
  </si>
  <si>
    <t>ausgewiesenen Leistungen erwirtschaftet haben)</t>
  </si>
  <si>
    <t>Pflegefachkräfte (staatlich examiniert) excl. Freistellungsanteil PDL</t>
  </si>
  <si>
    <t>Gesundheits- und KrankenpflegerIn, Krankenschwester, Kinderkrankenschwester, AltenpflegerIn. Krankenpfleger, incl. PDL mit Anteil in der Pflege</t>
  </si>
  <si>
    <t>Pflegehilfskräfte (1-jährig)</t>
  </si>
  <si>
    <t>KrankenpflegehelferIn, Arzthelferin, AltenpflegehelferIn, auch Hauswirtschaftsfachkräfte</t>
  </si>
  <si>
    <t>angelernte Mitarbeiter im Pflegedienst, die nicht mindestens ein Jahr ausgebildet wurden, auch angelernte Hauswirtschaftskräfte</t>
  </si>
  <si>
    <t>Betreuungskräfte</t>
  </si>
  <si>
    <t>Betreuungskräfte, die ausschließlich Betreuungsleistungen erbringen</t>
  </si>
  <si>
    <t>BFD und FSJ</t>
  </si>
  <si>
    <t>Zwischensumme</t>
  </si>
  <si>
    <t>Gesamtsumme</t>
  </si>
  <si>
    <t>nachrichtlich in Köpfen zum Stichtag 31.12.</t>
  </si>
  <si>
    <t>Geringfügig Beschäftigte</t>
  </si>
  <si>
    <t>nachrichtlich %-Anteil des Gesamtpersonals Pflegedienst</t>
  </si>
  <si>
    <t>Ort, PLZ, Datum:</t>
  </si>
  <si>
    <t>Für die Richtigkeit aller eingereichten Unterlagen</t>
  </si>
  <si>
    <t>(Stempel, Unterschrift Einrichtungsträger)</t>
  </si>
  <si>
    <t>Ermittlung der Budgetsteigerung</t>
  </si>
  <si>
    <t>lineare Steigerung</t>
  </si>
  <si>
    <t>sollten später mit weisser Schrfit auf weissem Untergrund "unsichtbar" gemacht werden</t>
  </si>
  <si>
    <t>bisherige gültige Vereinbarung:</t>
  </si>
  <si>
    <t>ohne Refinanzierungszuschlag</t>
  </si>
  <si>
    <t>LK 15:</t>
  </si>
  <si>
    <t>LK 15a:</t>
  </si>
  <si>
    <t>Umsatzvolumen</t>
  </si>
  <si>
    <t>Einzelpreis</t>
  </si>
  <si>
    <t>in der Zeit vom:</t>
  </si>
  <si>
    <t>bis zum:</t>
  </si>
  <si>
    <t>eintragen</t>
  </si>
  <si>
    <t>Einzelpreis ohne Refinanzierung</t>
  </si>
  <si>
    <t>Punktevolumen</t>
  </si>
  <si>
    <t>bisherig</t>
  </si>
  <si>
    <t>16 a</t>
  </si>
  <si>
    <t>Große Grundpflege 2</t>
  </si>
  <si>
    <t>Kleine Grundpflege 4</t>
  </si>
  <si>
    <t>Kleine pfleg. Hilfest.1</t>
  </si>
  <si>
    <t>Kleine pfleg. Hilfest. 2</t>
  </si>
  <si>
    <t>Kleine pfleg. Hilfest. 3</t>
  </si>
  <si>
    <t>Kleine pfleg. Hilfest. 4</t>
  </si>
  <si>
    <t>Pflegerische  Betreuung*</t>
  </si>
  <si>
    <t>(Minutenpreis)</t>
  </si>
  <si>
    <t>Hilfe bei der Sicherstellung der selbstverantw. Haushaltsführ.*</t>
  </si>
  <si>
    <t>* Anzahl der Minuten im Jahr</t>
  </si>
  <si>
    <t>Name des Pflegedienstes</t>
  </si>
  <si>
    <t xml:space="preserve">Nachweis der Kosten / Forderung </t>
  </si>
  <si>
    <t xml:space="preserve">( ausschließlich die Kosten für Stellenanteile, die unter B. ausgewiesene Leistungskomplexe </t>
  </si>
  <si>
    <t xml:space="preserve">erwirtschaftet haben; vgl. auch Ziffer C. Personalstruktur ) </t>
  </si>
  <si>
    <t xml:space="preserve">Personalkosten </t>
  </si>
  <si>
    <t xml:space="preserve">Kosten </t>
  </si>
  <si>
    <t>Ø</t>
  </si>
  <si>
    <t>Pflegefachkräfte (staatlich examiniert) excl. Frei-stellungsanteil PDL</t>
  </si>
  <si>
    <t xml:space="preserve">Summe Personalkosten </t>
  </si>
  <si>
    <t xml:space="preserve">Sachkosten </t>
  </si>
  <si>
    <t>( für die unter B. erwirtschafteten Leistungen )</t>
  </si>
  <si>
    <t>med. pfleg. Bedarf</t>
  </si>
  <si>
    <t>Sonstiges (bitte erläutern)</t>
  </si>
  <si>
    <t>Trägeruml. soweit nicht Fremdlst. Verwaltung</t>
  </si>
  <si>
    <t xml:space="preserve">Summe Sachkosten </t>
  </si>
  <si>
    <t xml:space="preserve">Summe Personal- und Sachkosten </t>
  </si>
  <si>
    <t>Beratungsbesuch</t>
  </si>
  <si>
    <t>P33</t>
  </si>
  <si>
    <t>Hauswirtschaftliche Versorgung**</t>
  </si>
  <si>
    <t>Beratungsbesuch nach § 37 Absatz 3 Satz 6 SGB XI; Grad 1 - 5</t>
  </si>
  <si>
    <t>TVöD</t>
  </si>
  <si>
    <t>prospektiver Vergütungszeitraum</t>
  </si>
  <si>
    <t>regional übliches Entgelt</t>
  </si>
  <si>
    <r>
      <t xml:space="preserve">(Anzahl der Beschäftigten ausschließlich im </t>
    </r>
    <r>
      <rPr>
        <b/>
        <sz val="10"/>
        <rFont val="Arial"/>
        <family val="2"/>
      </rPr>
      <t>SGB XI Bereich</t>
    </r>
    <r>
      <rPr>
        <sz val="10"/>
        <rFont val="Arial"/>
        <family val="2"/>
      </rPr>
      <t>, umgerechnet in Vollzeitstellen)</t>
    </r>
  </si>
  <si>
    <t xml:space="preserve">regelmäßige wöchentliche Arbeitszeit: </t>
  </si>
  <si>
    <t>D. Tarifbindung / Tarifanwendung/ regional übliches Entgelt</t>
  </si>
  <si>
    <t>Verwaltung</t>
  </si>
  <si>
    <t>AVR Caritas</t>
  </si>
  <si>
    <t>BAT-KF</t>
  </si>
  <si>
    <t>AVR Bayern</t>
  </si>
  <si>
    <t>DRK RT</t>
  </si>
  <si>
    <t>VPD</t>
  </si>
  <si>
    <t>LK15</t>
  </si>
  <si>
    <t>LK15a</t>
  </si>
  <si>
    <t>Steinfurt</t>
  </si>
  <si>
    <t>bpa</t>
  </si>
  <si>
    <t>Tarif</t>
  </si>
  <si>
    <t>Aachen</t>
  </si>
  <si>
    <t>Bielefeld</t>
  </si>
  <si>
    <t>Bochum</t>
  </si>
  <si>
    <t>Bonn</t>
  </si>
  <si>
    <t>Borken</t>
  </si>
  <si>
    <t>Bottrop</t>
  </si>
  <si>
    <t>Coesfeld</t>
  </si>
  <si>
    <t>Dortmund</t>
  </si>
  <si>
    <t>Duisburg</t>
  </si>
  <si>
    <t>Düren</t>
  </si>
  <si>
    <t>Düsseldorf</t>
  </si>
  <si>
    <t>Ennepe-Ruhr-Kreis</t>
  </si>
  <si>
    <t>Essen</t>
  </si>
  <si>
    <t>Euskirchen</t>
  </si>
  <si>
    <t>Gelsenkirchen</t>
  </si>
  <si>
    <t>Gütersloh</t>
  </si>
  <si>
    <t>Hagen</t>
  </si>
  <si>
    <t>Hamm</t>
  </si>
  <si>
    <t>Heinsberg</t>
  </si>
  <si>
    <t>Herford</t>
  </si>
  <si>
    <t>Herne</t>
  </si>
  <si>
    <t>Hochsauerlandkreis</t>
  </si>
  <si>
    <t>Höxter</t>
  </si>
  <si>
    <t>Kleve</t>
  </si>
  <si>
    <t>Köln</t>
  </si>
  <si>
    <t>Krefeld</t>
  </si>
  <si>
    <t>Leverkusen</t>
  </si>
  <si>
    <t>Lippe</t>
  </si>
  <si>
    <t>Märkischer Kreis</t>
  </si>
  <si>
    <t>Mettmann</t>
  </si>
  <si>
    <t>Minden-Lübbecke</t>
  </si>
  <si>
    <t>Mönchengladbach</t>
  </si>
  <si>
    <t>Mülheim a. d. Ruhr</t>
  </si>
  <si>
    <t>Münster</t>
  </si>
  <si>
    <t>Oberbergischer Kreis</t>
  </si>
  <si>
    <t>Oberhausen</t>
  </si>
  <si>
    <t>Olpe</t>
  </si>
  <si>
    <t>Paderborn</t>
  </si>
  <si>
    <t>Recklinghausen</t>
  </si>
  <si>
    <t>Remscheid</t>
  </si>
  <si>
    <t>Rhein-Erft-Kreis</t>
  </si>
  <si>
    <t>Rheinisch-Bergischer Kreis</t>
  </si>
  <si>
    <t>Rhein-Kreis Neuss</t>
  </si>
  <si>
    <t>Rhein-Sieg-Kreis</t>
  </si>
  <si>
    <t>Siegen-Wittgenstein</t>
  </si>
  <si>
    <t>Soest</t>
  </si>
  <si>
    <t>Solingen</t>
  </si>
  <si>
    <t>Unna</t>
  </si>
  <si>
    <t>Viersen</t>
  </si>
  <si>
    <t>Warendorf</t>
  </si>
  <si>
    <t>Wesel</t>
  </si>
  <si>
    <t>Wuppertal</t>
  </si>
  <si>
    <t>Kreise</t>
  </si>
  <si>
    <t xml:space="preserve">Tarifverträge </t>
  </si>
  <si>
    <t>Verbände</t>
  </si>
  <si>
    <t>DRK</t>
  </si>
  <si>
    <t>LfK</t>
  </si>
  <si>
    <t>VDAB</t>
  </si>
  <si>
    <t xml:space="preserve">ABVP </t>
  </si>
  <si>
    <t>bad e.V.</t>
  </si>
  <si>
    <t>DBfK</t>
  </si>
  <si>
    <t>AWO</t>
  </si>
  <si>
    <t>DCV</t>
  </si>
  <si>
    <t>Der Paritätische</t>
  </si>
  <si>
    <t>Diakonie</t>
  </si>
  <si>
    <t>ZWST</t>
  </si>
  <si>
    <t>kein Mitglied</t>
  </si>
  <si>
    <t>Tarifanwender</t>
  </si>
  <si>
    <t>Arbeitszeit</t>
  </si>
  <si>
    <t>Leitung</t>
  </si>
  <si>
    <t>Eingruppierung</t>
  </si>
  <si>
    <t>Erfahrungsstufe</t>
  </si>
  <si>
    <t>Geschäftsführung</t>
  </si>
  <si>
    <t xml:space="preserve">Leitung, in der Pflege freigestellte Mitarbeiteranteile, z.B. bei PDL, stellv. PDL, QMB, Hygienebeauftragte, Betriebsrat </t>
  </si>
  <si>
    <t>Verhandlungsart</t>
  </si>
  <si>
    <t>Einzelverhandlung</t>
  </si>
  <si>
    <t>Pauschalverhandlung</t>
  </si>
  <si>
    <t>Sonstige</t>
  </si>
  <si>
    <t>angelernte Hilfskräfte</t>
  </si>
  <si>
    <t>AVR DD (Diakonie)</t>
  </si>
  <si>
    <t>TV AWO</t>
  </si>
  <si>
    <t>HT Maternus</t>
  </si>
  <si>
    <t>HT Opseo</t>
  </si>
  <si>
    <t>Tarifvertrag</t>
  </si>
  <si>
    <t>Anwender/Anlehner</t>
  </si>
  <si>
    <t>Inflationsausgleichsprämie</t>
  </si>
  <si>
    <t>mit Inflationsausgleichsprämie</t>
  </si>
  <si>
    <t>ohne Inflationsausgleichsprämie</t>
  </si>
  <si>
    <t>Anwender</t>
  </si>
  <si>
    <t>Veränderung zum abg. Geschäftsjahr</t>
  </si>
  <si>
    <t>AVR Johanniter (DWBO)</t>
  </si>
  <si>
    <t>Tarifanlehner</t>
  </si>
  <si>
    <t>Laufzeit Beginn</t>
  </si>
  <si>
    <t>Laufzeit Ende</t>
  </si>
  <si>
    <t>1. Ausbildungskosten der Pflegefachassistenzausbildung</t>
  </si>
  <si>
    <t>Auszubildende Pflegefachassistenz</t>
  </si>
  <si>
    <t>monatl. Bruttogehalt pro Person in Ausbildung</t>
  </si>
  <si>
    <t>`+Jahressonderzahlungen anteilig pro Monat</t>
  </si>
  <si>
    <t>`+Sozialversicherungen 25%</t>
  </si>
  <si>
    <t>`= Summe monatl. Ausbildungskosten</t>
  </si>
  <si>
    <t xml:space="preserve">2. </t>
  </si>
  <si>
    <t xml:space="preserve">Berechnung der anteiligen Monate im folgenden Finanzierungsjahr </t>
  </si>
  <si>
    <t>Laufzeitbeginn:</t>
  </si>
  <si>
    <t xml:space="preserve">2a. </t>
  </si>
  <si>
    <t>Neu zu berücksichtigende Ausbildungsmonate</t>
  </si>
  <si>
    <t>Laufzeitende</t>
  </si>
  <si>
    <t>Namenskürzel Auszubildende</t>
  </si>
  <si>
    <t>Ausbildungsbeginn</t>
  </si>
  <si>
    <t>Ausbildungsende</t>
  </si>
  <si>
    <t>Anzahl Azubildende</t>
  </si>
  <si>
    <t>Monate</t>
  </si>
  <si>
    <t>Gesamtmonate</t>
  </si>
  <si>
    <t>Ausbildungsumfang Teil-/Vollzeit</t>
  </si>
  <si>
    <t>anteilige Monate</t>
  </si>
  <si>
    <t>Summe anteilige Monate</t>
  </si>
  <si>
    <t>2b.</t>
  </si>
  <si>
    <t xml:space="preserve">In der vorherigen Vergütungsvereinbarung berücksichtigte Ausbildungsmonate, die nicht stattfinden konnten (z. B. Ausbildungsabbruch) </t>
  </si>
  <si>
    <t>Anzahl abzuziehende Monate</t>
  </si>
  <si>
    <t>Summe anteilige Monate 2a. + 2b.</t>
  </si>
  <si>
    <t>Berechnung der zu refinanzierenden anteiligen Kosten im folgenden Finanzierungsjahr</t>
  </si>
  <si>
    <t>monatl. Ausbildungskosten</t>
  </si>
  <si>
    <r>
      <rPr>
        <sz val="10"/>
        <rFont val="Calibri"/>
        <family val="2"/>
      </rPr>
      <t>∑</t>
    </r>
    <r>
      <rPr>
        <sz val="16"/>
        <rFont val="Arial"/>
        <family val="2"/>
      </rPr>
      <t xml:space="preserve"> </t>
    </r>
    <r>
      <rPr>
        <sz val="10"/>
        <rFont val="Arial"/>
        <family val="2"/>
      </rPr>
      <t>Punktevolumen</t>
    </r>
  </si>
  <si>
    <t>jährlicher Punktwertauf-  schlag</t>
  </si>
  <si>
    <t>Angabe des Punktwertaufschlages für die neue Vergütung zum nächsten 1. Januar</t>
  </si>
  <si>
    <t>jährlicher Punktwertaufschlag</t>
  </si>
  <si>
    <t>Der berechnete jährliche Punktwertaufschlag in der Zelle I41 ist der maximal zulässige Punktwertaufschlag für die Vergütungsverhandlung SGB XI.</t>
  </si>
  <si>
    <t>Als ambulante Pflegeeinrichtung, dürfen Sie diesen unterschreiten. In dem Fall tragen Sie bitte den "gewünschten" Punktwertaufschlag in die Zelle</t>
  </si>
  <si>
    <t>C49 ein. Bitte beachten Sie, dass dieser Aufschlag maximal fünf Stellen hinter dem Komma haben darf und kleiner oder gleich dem berechneten</t>
  </si>
  <si>
    <t>jährlichen Punktwertaufschlag in Zelle I41 sein muss. Als Vorschlag wird automatisch der berechnete jährliche Punktwertaufschlag ausgewiesen.</t>
  </si>
  <si>
    <t>Punktwertaufschlag Vereinbarungszeitraum</t>
  </si>
  <si>
    <t>Nur auszufüllen bei Individualverhandlung</t>
  </si>
  <si>
    <t>Folgetag Ausbildungsabbruch</t>
  </si>
  <si>
    <t>Ende der aktuellen Vergütungsverein-barungslaufzeit</t>
  </si>
  <si>
    <t>Tarifanleher/-anwender/reg. übl. Entglt.</t>
  </si>
  <si>
    <t>Der für die Mitarbeiter gemäß DCS-Meldung maßgebliche Tarifvertrag:</t>
  </si>
  <si>
    <t>Leitung und Verwaltung Pflegedienst</t>
  </si>
  <si>
    <t>Dateneingabe</t>
  </si>
  <si>
    <t>Anlage 1</t>
  </si>
  <si>
    <t>*ohne Ausbildungszuschlag gem. PflBG</t>
  </si>
  <si>
    <t>Begründung für die Forderung siehe ggf. Anlage 1</t>
  </si>
  <si>
    <t>individuelle Kalkulation</t>
  </si>
  <si>
    <t>PW</t>
  </si>
  <si>
    <t>Lk15</t>
  </si>
  <si>
    <t xml:space="preserve">individuelle Kalkulation </t>
  </si>
  <si>
    <t>E. Kostenträgerstatistik</t>
  </si>
  <si>
    <t>AOK</t>
  </si>
  <si>
    <t>Knappschaft</t>
  </si>
  <si>
    <t>BKK</t>
  </si>
  <si>
    <t>SVLFG</t>
  </si>
  <si>
    <t>IKK</t>
  </si>
  <si>
    <t>vdek</t>
  </si>
  <si>
    <t>Sozialhilfeträger</t>
  </si>
  <si>
    <r>
      <t xml:space="preserve">(Kostenträger über 5% Anteil an der </t>
    </r>
    <r>
      <rPr>
        <b/>
        <sz val="10"/>
        <rFont val="Arial"/>
        <family val="2"/>
      </rPr>
      <t>Zahl der Pflegebedürftigen</t>
    </r>
    <r>
      <rPr>
        <sz val="10"/>
        <rFont val="Arial"/>
        <family val="2"/>
      </rPr>
      <t xml:space="preserve">, Erhebungszeitraum =  </t>
    </r>
  </si>
  <si>
    <r>
      <t xml:space="preserve">abgeschlossenes Geschäftsjahr - bitte </t>
    </r>
    <r>
      <rPr>
        <b/>
        <u/>
        <sz val="10"/>
        <rFont val="Arial"/>
        <family val="2"/>
      </rPr>
      <t>ankreuzen</t>
    </r>
    <r>
      <rPr>
        <sz val="10"/>
        <rFont val="Arial"/>
        <family val="2"/>
      </rPr>
      <t>)</t>
    </r>
  </si>
  <si>
    <t>01.01.2025</t>
  </si>
  <si>
    <t>31.12.2025</t>
  </si>
  <si>
    <t>Art</t>
  </si>
  <si>
    <t xml:space="preserve">Anwender </t>
  </si>
  <si>
    <t>Anlehner</t>
  </si>
  <si>
    <t>Laufzeitbeginn</t>
  </si>
  <si>
    <t>RüE</t>
  </si>
  <si>
    <t xml:space="preserve">1. </t>
  </si>
  <si>
    <t>Weiterbildungskosten Betreuungskraft</t>
  </si>
  <si>
    <t>Einsatzstunden p.a.</t>
  </si>
  <si>
    <t>Tarifvariante</t>
  </si>
  <si>
    <t>I.</t>
  </si>
  <si>
    <t>Lehrgangskosten</t>
  </si>
  <si>
    <t>II.</t>
  </si>
  <si>
    <t>Personalaufwand</t>
  </si>
  <si>
    <t>Lehrgangszeit</t>
  </si>
  <si>
    <t>p.a.</t>
  </si>
  <si>
    <t>Wegezeiten (10 %)</t>
  </si>
  <si>
    <t>Praktikum</t>
  </si>
  <si>
    <t>Jährliche Fortbildungskosten Betreuungskraft</t>
  </si>
  <si>
    <t>Berechnung der Finanzierungsanteile für Weiter- und Fortbildung</t>
  </si>
  <si>
    <t>3a</t>
  </si>
  <si>
    <t>Weiterbildungen Betreuungskräfte</t>
  </si>
  <si>
    <t>Namenskürzel</t>
  </si>
  <si>
    <t>Fortbildungskosten</t>
  </si>
  <si>
    <t>3b</t>
  </si>
  <si>
    <t>Jährliche Fortbildungen Betreuungskräfte</t>
  </si>
  <si>
    <t>Summe Punktvolumen</t>
  </si>
  <si>
    <t>Summe Fort- und Weiterbildungskosten</t>
  </si>
  <si>
    <t>Aufschlag pro Punkt Weiterbildung pro VK</t>
  </si>
  <si>
    <t>Aufschlag pro Punkt Fortbildung pro VK</t>
  </si>
  <si>
    <t>5.</t>
  </si>
  <si>
    <t/>
  </si>
  <si>
    <t>Der Punktwertaufschlag in Höhe von  Euro darf nicht überschritten werden</t>
  </si>
  <si>
    <t>Der berechnete jährliche Punktwertaufschlag in der Zelle I57 ist der maximal zulässige Punktwertaufschlag für die Vergütungsverhandlung SGB XI.</t>
  </si>
  <si>
    <t>Als ambulante Pflegeeinrichtung dürfen Sie diesen unterschreiten. In dem Fall tragen Sie bitte den "gewünschten" Punktwertaufschlag in die Zelle</t>
  </si>
  <si>
    <t>I64 ein. Bitte beachten Sie, dass dieser Aufschlag maximal fünf Stellen hinter dem Komma haben darf und kleiner oder gleich dem berechneten</t>
  </si>
  <si>
    <t>jährlichen Punktwertaufschlag in Zelle I57 sein muss. Als Vorschlag wird automatisch der berechnete jährliche Punktwertaufschlag ausgewiesen.</t>
  </si>
  <si>
    <t>PTG</t>
  </si>
  <si>
    <t>Feld wir nicht mehr genutzt</t>
  </si>
  <si>
    <t>keine IAP mehr</t>
  </si>
  <si>
    <t>Name der Einrichtung</t>
  </si>
  <si>
    <t>IK</t>
  </si>
  <si>
    <t>Zuschlag Pflegefachassistenten</t>
  </si>
  <si>
    <t>Zuschlag
MuG</t>
  </si>
  <si>
    <t>Name des Trägers</t>
  </si>
  <si>
    <t>Straße des Trägers</t>
  </si>
  <si>
    <t>PLZ des Trägers</t>
  </si>
  <si>
    <t>Ort des Trägers</t>
  </si>
  <si>
    <t>Straße der Einrichtung</t>
  </si>
  <si>
    <t>PLZ der Einrichtung</t>
  </si>
  <si>
    <t>Ort der Einrichtung</t>
  </si>
  <si>
    <t>Vergütung von</t>
  </si>
  <si>
    <t>Vergütung bis</t>
  </si>
  <si>
    <t>Hauswirtschaftliche Versorgung*</t>
  </si>
  <si>
    <t>Handreichungsangebot</t>
  </si>
  <si>
    <t>Angebot</t>
  </si>
  <si>
    <t>aktuelle Werte oberhalb Handreichung:</t>
  </si>
  <si>
    <t>nein</t>
  </si>
  <si>
    <t>&gt; dann Individualverhandlung</t>
  </si>
  <si>
    <t>Basisbereinigung für Folgevereinbarung:</t>
  </si>
  <si>
    <t>Basisbereinigung</t>
  </si>
  <si>
    <t>%</t>
  </si>
  <si>
    <t>Pflegedienst MORO GmbH</t>
  </si>
  <si>
    <t>Provinzialstr. 82</t>
  </si>
  <si>
    <t>460 502 542</t>
  </si>
  <si>
    <t>X</t>
  </si>
  <si>
    <t>Dortmund, 44388, 23.11.2025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</si>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</sst>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7" formatCode="#,##0.00\ &quot;€&quot;;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* #,##0.00\ [$€-1]_-;\-* #,##0.00\ [$€-1]_-;_-* \-??\ [$€-1]_-"/>
    <numFmt numFmtId="166" formatCode="0.00&quot; VK&quot;"/>
    <numFmt numFmtId="167" formatCode="0.0%"/>
    <numFmt numFmtId="168" formatCode="0.000"/>
    <numFmt numFmtId="169" formatCode="0.00000"/>
    <numFmt numFmtId="170" formatCode="#,##0.00\ &quot;€&quot;"/>
    <numFmt numFmtId="171" formatCode="###\ ###\ ###"/>
    <numFmt numFmtId="172" formatCode="00000\ "/>
    <numFmt numFmtId="173" formatCode="#,##0.00000\ &quot;€&quot;"/>
    <numFmt numFmtId="174" formatCode="0.000\ \€"/>
    <numFmt numFmtId="175" formatCode="#,##0.000\ &quot;DM&quot;"/>
    <numFmt numFmtId="176" formatCode="0&quot; Auszubildende&quot;"/>
    <numFmt numFmtId="177" formatCode="dd/mm/yy;@"/>
    <numFmt numFmtId="178" formatCode="#,##0.000"/>
    <numFmt numFmtId="179" formatCode="0.0000%"/>
    <numFmt numFmtId="180" formatCode="0.0000&quot; VK&quot;"/>
    <numFmt numFmtId="181" formatCode="_-* #,##0.00\ [$€-407]_-;\-* #,##0.00\ [$€-407]_-;_-* &quot;-&quot;??\ [$€-407]_-;_-@_-"/>
    <numFmt numFmtId="182" formatCode="_-* #,##0.00000\ &quot;€&quot;_-;\-* #,##0.00000\ &quot;€&quot;_-;_-* &quot;-&quot;??\ &quot;€&quot;_-;_-@_-"/>
    <numFmt numFmtId="183" formatCode="00000"/>
    <numFmt numFmtId="184" formatCode="0.0000"/>
    <numFmt numFmtId="185" formatCode="#,##0.000\ &quot;€&quot;;\-#,##0.000\ &quot;€&quot;"/>
    <numFmt numFmtId="186" formatCode="#,##0.000000\ &quot;€&quot;"/>
    <numFmt numFmtId="187" formatCode="_-* #,##0.000000\ &quot;€&quot;_-;\-* #,##0.000000\ &quot;€&quot;_-;_-* &quot;-&quot;??\ &quot;€&quot;_-;_-@_-"/>
    <numFmt numFmtId="188" formatCode="_-* #,##0.00000\ [$€-407]_-;\-* #,##0.00000\ [$€-407]_-;_-* &quot;-&quot;??\ [$€-407]_-;_-@_-"/>
    <numFmt numFmtId="189" formatCode="_-* #,##0.000000\ &quot;€&quot;_-;\-* #,##0.000000\ &quot;€&quot;_-;_-* &quot;-&quot;??????\ &quot;€&quot;_-;_-@_-"/>
    <numFmt numFmtId="190" formatCode="0.000000"/>
    <numFmt numFmtId="191" formatCode="#,##0.00000\ &quot;€&quot;;\-#,##0.00000\ &quot;€&quot;"/>
    <numFmt numFmtId="192" formatCode="#,##0\ &quot;Std.&quot;"/>
    <numFmt numFmtId="193" formatCode="#,##0\ &quot;€&quot;"/>
    <numFmt numFmtId="194" formatCode="#,##0\ &quot;Pkt.&quot;"/>
    <numFmt numFmtId="195" formatCode="#,##0.00\ &quot;VK&quot;"/>
    <numFmt numFmtId="196" formatCode="_-* #,##0.00000\ &quot;€&quot;_-;\-* #,##0.00000\ &quot;€&quot;_-;_-* &quot;-&quot;?????\ &quot;€&quot;_-;_-@_-"/>
    <numFmt numFmtId="197" formatCode="#,##0.00000"/>
  </numFmts>
  <fonts count="49">
    <font>
      <sz val="10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b/>
      <u/>
      <sz val="10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b/>
      <sz val="15"/>
      <name val="Arial"/>
      <family val="2"/>
    </font>
    <font>
      <sz val="20"/>
      <name val="Times New Roman"/>
      <family val="1"/>
    </font>
    <font>
      <sz val="16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name val="Times New Roman"/>
      <family val="1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sz val="11"/>
      <color theme="3"/>
      <name val="Arial"/>
      <family val="2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theme="1"/>
      <name val="Arial"/>
      <family val="2"/>
    </font>
    <font>
      <b/>
      <sz val="10"/>
      <color rgb="FFC00000"/>
      <name val="Arial"/>
      <family val="2"/>
    </font>
    <font>
      <sz val="14"/>
      <name val="Arial"/>
      <family val="2"/>
    </font>
    <font>
      <b/>
      <sz val="11"/>
      <color rgb="FFFF0000"/>
      <name val="Arial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b/>
      <u/>
      <sz val="14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12"/>
      <color theme="0"/>
      <name val="Arial"/>
      <family val="2"/>
    </font>
    <font>
      <sz val="10"/>
      <name val="IKK LucidaSans Roman"/>
    </font>
    <font>
      <b/>
      <sz val="12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FFE5"/>
        <bgColor rgb="FF000000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6">
    <xf numFmtId="0" fontId="0" fillId="0" borderId="0"/>
    <xf numFmtId="165" fontId="15" fillId="0" borderId="0" applyFill="0" applyBorder="0" applyAlignment="0" applyProtection="0"/>
    <xf numFmtId="9" fontId="15" fillId="0" borderId="0" applyFill="0" applyBorder="0" applyAlignment="0" applyProtection="0"/>
    <xf numFmtId="9" fontId="23" fillId="0" borderId="0" applyFont="0" applyFill="0" applyBorder="0" applyAlignment="0" applyProtection="0"/>
    <xf numFmtId="0" fontId="24" fillId="0" borderId="0"/>
    <xf numFmtId="0" fontId="11" fillId="0" borderId="0"/>
    <xf numFmtId="44" fontId="16" fillId="0" borderId="0" applyFont="0" applyFill="0" applyBorder="0" applyAlignment="0" applyProtection="0"/>
    <xf numFmtId="0" fontId="23" fillId="0" borderId="0"/>
    <xf numFmtId="0" fontId="15" fillId="0" borderId="0"/>
    <xf numFmtId="164" fontId="23" fillId="0" borderId="0" applyFont="0" applyFill="0" applyBorder="0" applyAlignment="0" applyProtection="0"/>
    <xf numFmtId="0" fontId="15" fillId="0" borderId="0"/>
    <xf numFmtId="0" fontId="15" fillId="0" borderId="0"/>
    <xf numFmtId="9" fontId="23" fillId="0" borderId="0" applyFont="0" applyFill="0" applyBorder="0" applyAlignment="0" applyProtection="0"/>
    <xf numFmtId="0" fontId="23" fillId="0" borderId="0"/>
    <xf numFmtId="44" fontId="15" fillId="0" borderId="0" applyFont="0" applyFill="0" applyBorder="0" applyAlignment="0" applyProtection="0"/>
    <xf numFmtId="0" fontId="47" fillId="0" borderId="0"/>
  </cellStyleXfs>
  <cellXfs count="470">
    <xf numFmtId="0" fontId="0" fillId="0" borderId="0" xfId="0"/>
    <xf numFmtId="0" fontId="25" fillId="0" borderId="0" xfId="4" applyFont="1" applyAlignment="1">
      <alignment vertical="center"/>
    </xf>
    <xf numFmtId="3" fontId="15" fillId="0" borderId="0" xfId="6" applyNumberFormat="1" applyFont="1" applyFill="1" applyBorder="1" applyAlignment="1" applyProtection="1">
      <alignment vertical="center"/>
    </xf>
    <xf numFmtId="173" fontId="15" fillId="7" borderId="1" xfId="13" applyNumberFormat="1" applyFont="1" applyFill="1" applyBorder="1" applyAlignment="1" applyProtection="1">
      <alignment horizontal="center" vertical="center"/>
      <protection locked="0"/>
    </xf>
    <xf numFmtId="170" fontId="15" fillId="7" borderId="1" xfId="13" applyNumberFormat="1" applyFont="1" applyFill="1" applyBorder="1" applyAlignment="1" applyProtection="1">
      <alignment horizontal="center" vertical="center"/>
      <protection locked="0"/>
    </xf>
    <xf numFmtId="3" fontId="4" fillId="7" borderId="1" xfId="13" applyNumberFormat="1" applyFont="1" applyFill="1" applyBorder="1" applyAlignment="1" applyProtection="1">
      <alignment vertical="center"/>
      <protection locked="0"/>
    </xf>
    <xf numFmtId="166" fontId="15" fillId="7" borderId="1" xfId="13" applyNumberFormat="1" applyFont="1" applyFill="1" applyBorder="1" applyAlignment="1" applyProtection="1">
      <alignment vertical="center"/>
      <protection locked="0"/>
    </xf>
    <xf numFmtId="171" fontId="15" fillId="7" borderId="1" xfId="13" applyNumberFormat="1" applyFont="1" applyFill="1" applyBorder="1" applyAlignment="1" applyProtection="1">
      <alignment horizontal="center" vertical="center"/>
      <protection locked="0"/>
    </xf>
    <xf numFmtId="183" fontId="5" fillId="7" borderId="1" xfId="13" applyNumberFormat="1" applyFont="1" applyFill="1" applyBorder="1" applyAlignment="1" applyProtection="1">
      <alignment vertical="center"/>
      <protection locked="0"/>
    </xf>
    <xf numFmtId="14" fontId="25" fillId="0" borderId="0" xfId="4" applyNumberFormat="1" applyFont="1" applyAlignment="1">
      <alignment vertical="center"/>
    </xf>
    <xf numFmtId="49" fontId="25" fillId="0" borderId="0" xfId="4" applyNumberFormat="1" applyFont="1" applyAlignment="1">
      <alignment vertical="center"/>
    </xf>
    <xf numFmtId="14" fontId="15" fillId="7" borderId="1" xfId="13" applyNumberFormat="1" applyFont="1" applyFill="1" applyBorder="1" applyAlignment="1" applyProtection="1">
      <alignment horizontal="center" vertical="center"/>
      <protection locked="0"/>
    </xf>
    <xf numFmtId="10" fontId="15" fillId="7" borderId="1" xfId="13" applyNumberFormat="1" applyFont="1" applyFill="1" applyBorder="1" applyAlignment="1" applyProtection="1">
      <alignment vertical="center"/>
      <protection locked="0"/>
    </xf>
    <xf numFmtId="0" fontId="4" fillId="7" borderId="1" xfId="13" applyFont="1" applyFill="1" applyBorder="1" applyAlignment="1" applyProtection="1">
      <alignment horizontal="center" vertical="center"/>
      <protection locked="0"/>
    </xf>
    <xf numFmtId="0" fontId="15" fillId="0" borderId="8" xfId="4" applyFont="1" applyBorder="1" applyAlignment="1" applyProtection="1">
      <alignment vertical="center"/>
      <protection locked="0"/>
    </xf>
    <xf numFmtId="0" fontId="15" fillId="0" borderId="19" xfId="4" applyFont="1" applyBorder="1" applyAlignment="1" applyProtection="1">
      <alignment vertical="center"/>
      <protection locked="0"/>
    </xf>
    <xf numFmtId="0" fontId="14" fillId="0" borderId="0" xfId="0" applyFont="1" applyProtection="1"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15" fillId="0" borderId="0" xfId="0" applyFont="1" applyProtection="1">
      <protection hidden="1"/>
    </xf>
    <xf numFmtId="0" fontId="0" fillId="0" borderId="0" xfId="0" applyProtection="1">
      <protection hidden="1"/>
    </xf>
    <xf numFmtId="0" fontId="15" fillId="0" borderId="0" xfId="0" applyFont="1" applyAlignment="1" applyProtection="1">
      <alignment horizontal="center"/>
      <protection hidden="1"/>
    </xf>
    <xf numFmtId="0" fontId="31" fillId="0" borderId="0" xfId="0" applyFont="1" applyAlignment="1" applyProtection="1">
      <alignment horizontal="left"/>
      <protection hidden="1"/>
    </xf>
    <xf numFmtId="0" fontId="31" fillId="0" borderId="0" xfId="0" applyFont="1" applyProtection="1">
      <protection hidden="1"/>
    </xf>
    <xf numFmtId="0" fontId="31" fillId="0" borderId="0" xfId="0" applyFont="1" applyAlignment="1" applyProtection="1">
      <alignment horizontal="center"/>
      <protection hidden="1"/>
    </xf>
    <xf numFmtId="0" fontId="31" fillId="0" borderId="0" xfId="0" applyFont="1" applyAlignment="1" applyProtection="1">
      <alignment horizontal="right"/>
      <protection hidden="1"/>
    </xf>
    <xf numFmtId="173" fontId="31" fillId="0" borderId="0" xfId="0" applyNumberFormat="1" applyFont="1" applyProtection="1">
      <protection hidden="1"/>
    </xf>
    <xf numFmtId="169" fontId="0" fillId="0" borderId="0" xfId="0" applyNumberFormat="1" applyProtection="1">
      <protection hidden="1"/>
    </xf>
    <xf numFmtId="173" fontId="0" fillId="0" borderId="0" xfId="0" applyNumberFormat="1" applyProtection="1">
      <protection hidden="1"/>
    </xf>
    <xf numFmtId="10" fontId="0" fillId="0" borderId="0" xfId="0" applyNumberFormat="1" applyProtection="1">
      <protection hidden="1"/>
    </xf>
    <xf numFmtId="170" fontId="31" fillId="0" borderId="0" xfId="0" applyNumberFormat="1" applyFont="1" applyProtection="1">
      <protection hidden="1"/>
    </xf>
    <xf numFmtId="177" fontId="15" fillId="0" borderId="0" xfId="0" applyNumberFormat="1" applyFont="1" applyProtection="1">
      <protection hidden="1"/>
    </xf>
    <xf numFmtId="177" fontId="31" fillId="0" borderId="0" xfId="0" applyNumberFormat="1" applyFont="1" applyProtection="1">
      <protection hidden="1"/>
    </xf>
    <xf numFmtId="170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10" fontId="0" fillId="0" borderId="0" xfId="2" applyNumberFormat="1" applyFont="1" applyFill="1" applyBorder="1" applyProtection="1">
      <protection hidden="1"/>
    </xf>
    <xf numFmtId="14" fontId="2" fillId="0" borderId="0" xfId="0" applyNumberFormat="1" applyFont="1" applyProtection="1">
      <protection hidden="1"/>
    </xf>
    <xf numFmtId="0" fontId="7" fillId="3" borderId="1" xfId="0" applyFont="1" applyFill="1" applyBorder="1" applyProtection="1">
      <protection hidden="1"/>
    </xf>
    <xf numFmtId="0" fontId="7" fillId="0" borderId="2" xfId="0" applyFont="1" applyBorder="1" applyProtection="1">
      <protection hidden="1"/>
    </xf>
    <xf numFmtId="0" fontId="7" fillId="0" borderId="8" xfId="0" applyFont="1" applyBorder="1" applyProtection="1">
      <protection hidden="1"/>
    </xf>
    <xf numFmtId="0" fontId="7" fillId="0" borderId="19" xfId="0" applyFont="1" applyBorder="1" applyProtection="1">
      <protection hidden="1"/>
    </xf>
    <xf numFmtId="3" fontId="7" fillId="0" borderId="1" xfId="0" applyNumberFormat="1" applyFont="1" applyBorder="1" applyProtection="1">
      <protection hidden="1"/>
    </xf>
    <xf numFmtId="170" fontId="7" fillId="0" borderId="0" xfId="0" applyNumberFormat="1" applyFont="1" applyProtection="1">
      <protection hidden="1"/>
    </xf>
    <xf numFmtId="0" fontId="7" fillId="0" borderId="0" xfId="0" applyFont="1" applyProtection="1">
      <protection hidden="1"/>
    </xf>
    <xf numFmtId="4" fontId="5" fillId="0" borderId="0" xfId="0" applyNumberFormat="1" applyFont="1" applyProtection="1">
      <protection hidden="1"/>
    </xf>
    <xf numFmtId="0" fontId="5" fillId="0" borderId="0" xfId="0" applyFont="1" applyProtection="1">
      <protection hidden="1"/>
    </xf>
    <xf numFmtId="0" fontId="32" fillId="0" borderId="0" xfId="0" applyFont="1" applyProtection="1">
      <protection hidden="1"/>
    </xf>
    <xf numFmtId="3" fontId="5" fillId="0" borderId="0" xfId="0" applyNumberFormat="1" applyFont="1" applyProtection="1">
      <protection hidden="1"/>
    </xf>
    <xf numFmtId="170" fontId="5" fillId="0" borderId="0" xfId="0" applyNumberFormat="1" applyFont="1" applyProtection="1">
      <protection hidden="1"/>
    </xf>
    <xf numFmtId="14" fontId="5" fillId="0" borderId="0" xfId="0" applyNumberFormat="1" applyFont="1" applyProtection="1">
      <protection hidden="1"/>
    </xf>
    <xf numFmtId="178" fontId="7" fillId="0" borderId="1" xfId="0" applyNumberFormat="1" applyFont="1" applyBorder="1" applyProtection="1">
      <protection hidden="1"/>
    </xf>
    <xf numFmtId="0" fontId="7" fillId="3" borderId="1" xfId="0" applyFont="1" applyFill="1" applyBorder="1" applyAlignment="1" applyProtection="1">
      <alignment horizontal="right"/>
      <protection hidden="1"/>
    </xf>
    <xf numFmtId="4" fontId="7" fillId="0" borderId="1" xfId="0" applyNumberFormat="1" applyFont="1" applyBorder="1" applyProtection="1">
      <protection hidden="1"/>
    </xf>
    <xf numFmtId="0" fontId="7" fillId="0" borderId="1" xfId="0" applyFont="1" applyBorder="1" applyProtection="1">
      <protection hidden="1"/>
    </xf>
    <xf numFmtId="3" fontId="7" fillId="0" borderId="1" xfId="0" applyNumberFormat="1" applyFont="1" applyBorder="1" applyAlignment="1" applyProtection="1">
      <alignment horizontal="right"/>
      <protection hidden="1"/>
    </xf>
    <xf numFmtId="0" fontId="6" fillId="0" borderId="13" xfId="0" quotePrefix="1" applyFont="1" applyBorder="1" applyProtection="1">
      <protection hidden="1"/>
    </xf>
    <xf numFmtId="3" fontId="2" fillId="0" borderId="0" xfId="0" applyNumberFormat="1" applyFont="1" applyProtection="1">
      <protection hidden="1"/>
    </xf>
    <xf numFmtId="3" fontId="0" fillId="0" borderId="0" xfId="0" applyNumberFormat="1" applyProtection="1">
      <protection hidden="1"/>
    </xf>
    <xf numFmtId="14" fontId="15" fillId="0" borderId="0" xfId="0" applyNumberFormat="1" applyFont="1" applyProtection="1">
      <protection hidden="1"/>
    </xf>
    <xf numFmtId="179" fontId="0" fillId="0" borderId="0" xfId="0" applyNumberFormat="1" applyProtection="1">
      <protection hidden="1"/>
    </xf>
    <xf numFmtId="10" fontId="15" fillId="0" borderId="0" xfId="2" applyNumberFormat="1" applyFill="1" applyBorder="1" applyProtection="1">
      <protection hidden="1"/>
    </xf>
    <xf numFmtId="184" fontId="15" fillId="0" borderId="0" xfId="0" applyNumberFormat="1" applyFont="1" applyProtection="1">
      <protection hidden="1"/>
    </xf>
    <xf numFmtId="4" fontId="15" fillId="0" borderId="0" xfId="0" applyNumberFormat="1" applyFont="1" applyProtection="1">
      <protection hidden="1"/>
    </xf>
    <xf numFmtId="44" fontId="0" fillId="0" borderId="0" xfId="14" applyFont="1" applyFill="1" applyBorder="1" applyProtection="1">
      <protection hidden="1"/>
    </xf>
    <xf numFmtId="0" fontId="15" fillId="0" borderId="0" xfId="8" applyProtection="1">
      <protection hidden="1"/>
    </xf>
    <xf numFmtId="0" fontId="34" fillId="0" borderId="0" xfId="8" applyFont="1" applyProtection="1">
      <protection hidden="1"/>
    </xf>
    <xf numFmtId="0" fontId="16" fillId="0" borderId="0" xfId="8" applyFont="1" applyProtection="1">
      <protection hidden="1"/>
    </xf>
    <xf numFmtId="0" fontId="35" fillId="0" borderId="0" xfId="8" applyFont="1" applyProtection="1">
      <protection hidden="1"/>
    </xf>
    <xf numFmtId="0" fontId="15" fillId="0" borderId="11" xfId="8" applyBorder="1" applyProtection="1">
      <protection hidden="1"/>
    </xf>
    <xf numFmtId="0" fontId="36" fillId="0" borderId="18" xfId="8" applyFont="1" applyBorder="1" applyProtection="1">
      <protection hidden="1"/>
    </xf>
    <xf numFmtId="0" fontId="34" fillId="0" borderId="22" xfId="8" applyFont="1" applyBorder="1" applyProtection="1">
      <protection hidden="1"/>
    </xf>
    <xf numFmtId="0" fontId="34" fillId="0" borderId="33" xfId="8" applyFont="1" applyBorder="1" applyProtection="1">
      <protection hidden="1"/>
    </xf>
    <xf numFmtId="0" fontId="34" fillId="0" borderId="35" xfId="8" applyFont="1" applyBorder="1" applyAlignment="1" applyProtection="1">
      <alignment horizontal="center"/>
      <protection hidden="1"/>
    </xf>
    <xf numFmtId="0" fontId="34" fillId="0" borderId="23" xfId="8" applyFont="1" applyBorder="1" applyAlignment="1" applyProtection="1">
      <alignment horizontal="center" wrapText="1"/>
      <protection hidden="1"/>
    </xf>
    <xf numFmtId="9" fontId="15" fillId="0" borderId="0" xfId="2" applyProtection="1">
      <protection hidden="1"/>
    </xf>
    <xf numFmtId="44" fontId="16" fillId="0" borderId="37" xfId="14" applyFont="1" applyBorder="1" applyAlignment="1" applyProtection="1">
      <protection hidden="1"/>
    </xf>
    <xf numFmtId="10" fontId="11" fillId="0" borderId="37" xfId="2" applyNumberFormat="1" applyFont="1" applyBorder="1" applyProtection="1">
      <protection hidden="1"/>
    </xf>
    <xf numFmtId="44" fontId="16" fillId="0" borderId="36" xfId="14" applyFont="1" applyBorder="1" applyAlignment="1" applyProtection="1">
      <protection hidden="1"/>
    </xf>
    <xf numFmtId="44" fontId="16" fillId="0" borderId="9" xfId="14" applyFont="1" applyBorder="1" applyAlignment="1" applyProtection="1">
      <protection hidden="1"/>
    </xf>
    <xf numFmtId="44" fontId="16" fillId="0" borderId="9" xfId="14" applyFont="1" applyFill="1" applyBorder="1" applyAlignment="1" applyProtection="1">
      <protection hidden="1"/>
    </xf>
    <xf numFmtId="10" fontId="11" fillId="0" borderId="46" xfId="2" applyNumberFormat="1" applyFont="1" applyBorder="1" applyProtection="1">
      <protection hidden="1"/>
    </xf>
    <xf numFmtId="168" fontId="34" fillId="0" borderId="22" xfId="8" applyNumberFormat="1" applyFont="1" applyBorder="1" applyAlignment="1" applyProtection="1">
      <alignment horizontal="center"/>
      <protection hidden="1"/>
    </xf>
    <xf numFmtId="185" fontId="0" fillId="0" borderId="0" xfId="0" applyNumberFormat="1" applyProtection="1">
      <protection hidden="1"/>
    </xf>
    <xf numFmtId="7" fontId="15" fillId="0" borderId="0" xfId="8" applyNumberFormat="1" applyProtection="1">
      <protection hidden="1"/>
    </xf>
    <xf numFmtId="0" fontId="15" fillId="8" borderId="3" xfId="8" applyFill="1" applyBorder="1" applyAlignment="1" applyProtection="1">
      <alignment vertical="center"/>
      <protection hidden="1"/>
    </xf>
    <xf numFmtId="7" fontId="15" fillId="8" borderId="16" xfId="8" applyNumberFormat="1" applyFill="1" applyBorder="1" applyProtection="1">
      <protection hidden="1"/>
    </xf>
    <xf numFmtId="0" fontId="15" fillId="8" borderId="0" xfId="8" applyFill="1" applyProtection="1">
      <protection hidden="1"/>
    </xf>
    <xf numFmtId="10" fontId="11" fillId="0" borderId="43" xfId="2" applyNumberFormat="1" applyFont="1" applyBorder="1" applyProtection="1">
      <protection hidden="1"/>
    </xf>
    <xf numFmtId="7" fontId="0" fillId="0" borderId="0" xfId="0" applyNumberFormat="1" applyProtection="1">
      <protection hidden="1"/>
    </xf>
    <xf numFmtId="0" fontId="15" fillId="8" borderId="16" xfId="8" applyFill="1" applyBorder="1" applyProtection="1">
      <protection hidden="1"/>
    </xf>
    <xf numFmtId="0" fontId="15" fillId="8" borderId="10" xfId="8" applyFill="1" applyBorder="1" applyProtection="1">
      <protection hidden="1"/>
    </xf>
    <xf numFmtId="7" fontId="34" fillId="0" borderId="47" xfId="6" applyNumberFormat="1" applyFont="1" applyBorder="1" applyAlignment="1" applyProtection="1">
      <protection hidden="1"/>
    </xf>
    <xf numFmtId="10" fontId="29" fillId="8" borderId="18" xfId="2" applyNumberFormat="1" applyFont="1" applyFill="1" applyBorder="1" applyAlignment="1" applyProtection="1">
      <protection hidden="1"/>
    </xf>
    <xf numFmtId="7" fontId="34" fillId="0" borderId="24" xfId="6" applyNumberFormat="1" applyFont="1" applyBorder="1" applyAlignment="1" applyProtection="1">
      <protection hidden="1"/>
    </xf>
    <xf numFmtId="10" fontId="29" fillId="8" borderId="11" xfId="2" applyNumberFormat="1" applyFont="1" applyFill="1" applyBorder="1" applyProtection="1">
      <protection hidden="1"/>
    </xf>
    <xf numFmtId="0" fontId="15" fillId="8" borderId="18" xfId="8" applyFill="1" applyBorder="1" applyProtection="1">
      <protection hidden="1"/>
    </xf>
    <xf numFmtId="7" fontId="23" fillId="0" borderId="0" xfId="6" applyNumberFormat="1" applyFont="1" applyAlignment="1" applyProtection="1">
      <protection hidden="1"/>
    </xf>
    <xf numFmtId="7" fontId="34" fillId="0" borderId="1" xfId="6" applyNumberFormat="1" applyFont="1" applyBorder="1" applyAlignment="1" applyProtection="1">
      <protection hidden="1"/>
    </xf>
    <xf numFmtId="0" fontId="34" fillId="0" borderId="0" xfId="8" applyFont="1" applyAlignment="1" applyProtection="1">
      <alignment horizontal="left"/>
      <protection hidden="1"/>
    </xf>
    <xf numFmtId="7" fontId="34" fillId="0" borderId="0" xfId="6" applyNumberFormat="1" applyFont="1" applyBorder="1" applyAlignment="1" applyProtection="1">
      <protection hidden="1"/>
    </xf>
    <xf numFmtId="180" fontId="11" fillId="7" borderId="38" xfId="13" applyNumberFormat="1" applyFont="1" applyFill="1" applyBorder="1" applyAlignment="1" applyProtection="1">
      <alignment horizontal="center"/>
      <protection locked="0" hidden="1"/>
    </xf>
    <xf numFmtId="7" fontId="11" fillId="7" borderId="39" xfId="13" applyNumberFormat="1" applyFont="1" applyFill="1" applyBorder="1" applyProtection="1">
      <protection locked="0" hidden="1"/>
    </xf>
    <xf numFmtId="7" fontId="11" fillId="7" borderId="41" xfId="8" applyNumberFormat="1" applyFont="1" applyFill="1" applyBorder="1" applyProtection="1">
      <protection locked="0" hidden="1"/>
    </xf>
    <xf numFmtId="180" fontId="11" fillId="7" borderId="40" xfId="8" applyNumberFormat="1" applyFont="1" applyFill="1" applyBorder="1" applyAlignment="1" applyProtection="1">
      <alignment horizontal="center"/>
      <protection locked="0" hidden="1"/>
    </xf>
    <xf numFmtId="180" fontId="11" fillId="7" borderId="38" xfId="8" applyNumberFormat="1" applyFont="1" applyFill="1" applyBorder="1" applyAlignment="1" applyProtection="1">
      <alignment horizontal="center"/>
      <protection locked="0" hidden="1"/>
    </xf>
    <xf numFmtId="7" fontId="11" fillId="7" borderId="42" xfId="6" applyNumberFormat="1" applyFont="1" applyFill="1" applyBorder="1" applyAlignment="1" applyProtection="1">
      <alignment vertical="center"/>
      <protection locked="0" hidden="1"/>
    </xf>
    <xf numFmtId="7" fontId="11" fillId="7" borderId="44" xfId="6" applyNumberFormat="1" applyFont="1" applyFill="1" applyBorder="1" applyAlignment="1" applyProtection="1">
      <alignment vertical="center"/>
      <protection locked="0" hidden="1"/>
    </xf>
    <xf numFmtId="7" fontId="11" fillId="7" borderId="45" xfId="6" applyNumberFormat="1" applyFont="1" applyFill="1" applyBorder="1" applyAlignment="1" applyProtection="1">
      <alignment vertical="center"/>
      <protection locked="0" hidden="1"/>
    </xf>
    <xf numFmtId="10" fontId="10" fillId="0" borderId="24" xfId="2" applyNumberFormat="1" applyFont="1" applyBorder="1" applyAlignment="1" applyProtection="1">
      <protection hidden="1"/>
    </xf>
    <xf numFmtId="0" fontId="37" fillId="0" borderId="0" xfId="0" applyFont="1" applyProtection="1">
      <protection hidden="1"/>
    </xf>
    <xf numFmtId="0" fontId="15" fillId="6" borderId="0" xfId="0" applyFont="1" applyFill="1" applyProtection="1">
      <protection hidden="1"/>
    </xf>
    <xf numFmtId="49" fontId="30" fillId="0" borderId="0" xfId="0" applyNumberFormat="1" applyFont="1" applyAlignment="1" applyProtection="1">
      <alignment horizontal="center"/>
      <protection hidden="1"/>
    </xf>
    <xf numFmtId="44" fontId="30" fillId="0" borderId="0" xfId="14" applyFont="1" applyBorder="1" applyProtection="1">
      <protection hidden="1"/>
    </xf>
    <xf numFmtId="0" fontId="30" fillId="0" borderId="0" xfId="0" applyFont="1" applyProtection="1">
      <protection hidden="1"/>
    </xf>
    <xf numFmtId="44" fontId="15" fillId="0" borderId="0" xfId="0" applyNumberFormat="1" applyFont="1" applyProtection="1">
      <protection hidden="1"/>
    </xf>
    <xf numFmtId="181" fontId="30" fillId="0" borderId="0" xfId="0" applyNumberFormat="1" applyFont="1" applyProtection="1">
      <protection hidden="1"/>
    </xf>
    <xf numFmtId="181" fontId="15" fillId="0" borderId="0" xfId="0" applyNumberFormat="1" applyFont="1" applyProtection="1">
      <protection hidden="1"/>
    </xf>
    <xf numFmtId="44" fontId="15" fillId="0" borderId="0" xfId="14" applyFont="1" applyFill="1" applyBorder="1" applyProtection="1">
      <protection hidden="1"/>
    </xf>
    <xf numFmtId="44" fontId="30" fillId="0" borderId="0" xfId="0" applyNumberFormat="1" applyFont="1" applyProtection="1">
      <protection hidden="1"/>
    </xf>
    <xf numFmtId="182" fontId="15" fillId="0" borderId="0" xfId="0" applyNumberFormat="1" applyFont="1" applyProtection="1">
      <protection hidden="1"/>
    </xf>
    <xf numFmtId="167" fontId="15" fillId="0" borderId="0" xfId="2" applyNumberFormat="1" applyProtection="1">
      <protection hidden="1"/>
    </xf>
    <xf numFmtId="187" fontId="15" fillId="0" borderId="0" xfId="0" applyNumberFormat="1" applyFont="1" applyProtection="1">
      <protection hidden="1"/>
    </xf>
    <xf numFmtId="0" fontId="15" fillId="10" borderId="1" xfId="0" applyFont="1" applyFill="1" applyBorder="1" applyProtection="1">
      <protection hidden="1"/>
    </xf>
    <xf numFmtId="0" fontId="9" fillId="0" borderId="0" xfId="0" applyFont="1" applyProtection="1">
      <protection hidden="1"/>
    </xf>
    <xf numFmtId="0" fontId="39" fillId="0" borderId="0" xfId="0" applyFont="1" applyProtection="1">
      <protection hidden="1"/>
    </xf>
    <xf numFmtId="14" fontId="2" fillId="6" borderId="1" xfId="0" applyNumberFormat="1" applyFont="1" applyFill="1" applyBorder="1" applyAlignment="1" applyProtection="1">
      <alignment horizontal="center"/>
      <protection hidden="1"/>
    </xf>
    <xf numFmtId="0" fontId="12" fillId="0" borderId="0" xfId="0" applyFont="1" applyProtection="1">
      <protection hidden="1"/>
    </xf>
    <xf numFmtId="0" fontId="15" fillId="0" borderId="0" xfId="0" applyFont="1" applyAlignment="1" applyProtection="1">
      <alignment vertical="center"/>
      <protection hidden="1"/>
    </xf>
    <xf numFmtId="0" fontId="15" fillId="9" borderId="1" xfId="0" applyFont="1" applyFill="1" applyBorder="1" applyAlignment="1" applyProtection="1">
      <alignment vertical="center" wrapText="1"/>
      <protection hidden="1"/>
    </xf>
    <xf numFmtId="0" fontId="15" fillId="9" borderId="1" xfId="0" applyFont="1" applyFill="1" applyBorder="1" applyAlignment="1" applyProtection="1">
      <alignment horizontal="center" vertical="center"/>
      <protection hidden="1"/>
    </xf>
    <xf numFmtId="0" fontId="15" fillId="9" borderId="1" xfId="0" applyFont="1" applyFill="1" applyBorder="1" applyAlignment="1" applyProtection="1">
      <alignment horizontal="center" vertical="center" wrapText="1"/>
      <protection hidden="1"/>
    </xf>
    <xf numFmtId="0" fontId="15" fillId="0" borderId="1" xfId="0" applyFont="1" applyBorder="1" applyAlignment="1" applyProtection="1">
      <alignment horizontal="center"/>
      <protection hidden="1"/>
    </xf>
    <xf numFmtId="0" fontId="15" fillId="0" borderId="1" xfId="0" quotePrefix="1" applyFont="1" applyBorder="1" applyAlignment="1" applyProtection="1">
      <alignment horizontal="center" vertical="center"/>
      <protection hidden="1"/>
    </xf>
    <xf numFmtId="0" fontId="15" fillId="0" borderId="1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40" fillId="0" borderId="0" xfId="0" applyFont="1" applyProtection="1">
      <protection hidden="1"/>
    </xf>
    <xf numFmtId="0" fontId="0" fillId="9" borderId="1" xfId="0" applyFill="1" applyBorder="1" applyAlignment="1" applyProtection="1">
      <alignment horizontal="center" vertical="center" wrapText="1"/>
      <protection hidden="1"/>
    </xf>
    <xf numFmtId="3" fontId="15" fillId="0" borderId="0" xfId="0" applyNumberFormat="1" applyFont="1" applyAlignment="1" applyProtection="1">
      <alignment horizontal="center"/>
      <protection hidden="1"/>
    </xf>
    <xf numFmtId="167" fontId="15" fillId="0" borderId="0" xfId="2" applyNumberFormat="1" applyFill="1" applyProtection="1">
      <protection hidden="1"/>
    </xf>
    <xf numFmtId="182" fontId="15" fillId="9" borderId="1" xfId="0" applyNumberFormat="1" applyFont="1" applyFill="1" applyBorder="1" applyAlignment="1" applyProtection="1">
      <alignment horizontal="center" vertical="center" wrapText="1"/>
      <protection hidden="1"/>
    </xf>
    <xf numFmtId="44" fontId="15" fillId="0" borderId="1" xfId="0" applyNumberFormat="1" applyFont="1" applyBorder="1" applyAlignment="1" applyProtection="1">
      <alignment horizontal="center"/>
      <protection hidden="1"/>
    </xf>
    <xf numFmtId="0" fontId="41" fillId="0" borderId="1" xfId="0" applyFont="1" applyBorder="1" applyAlignment="1" applyProtection="1">
      <alignment horizontal="center"/>
      <protection hidden="1"/>
    </xf>
    <xf numFmtId="3" fontId="15" fillId="6" borderId="1" xfId="0" applyNumberFormat="1" applyFont="1" applyFill="1" applyBorder="1" applyAlignment="1" applyProtection="1">
      <alignment horizontal="center"/>
      <protection hidden="1"/>
    </xf>
    <xf numFmtId="167" fontId="15" fillId="0" borderId="1" xfId="2" applyNumberFormat="1" applyBorder="1" applyAlignment="1" applyProtection="1">
      <alignment horizontal="center"/>
      <protection hidden="1"/>
    </xf>
    <xf numFmtId="188" fontId="2" fillId="0" borderId="1" xfId="0" applyNumberFormat="1" applyFont="1" applyBorder="1" applyAlignment="1" applyProtection="1">
      <alignment horizontal="center"/>
      <protection hidden="1"/>
    </xf>
    <xf numFmtId="189" fontId="2" fillId="0" borderId="1" xfId="0" applyNumberFormat="1" applyFont="1" applyBorder="1" applyAlignment="1" applyProtection="1">
      <alignment horizontal="center"/>
      <protection hidden="1"/>
    </xf>
    <xf numFmtId="173" fontId="15" fillId="6" borderId="1" xfId="0" applyNumberFormat="1" applyFont="1" applyFill="1" applyBorder="1" applyAlignment="1" applyProtection="1">
      <alignment horizontal="center"/>
      <protection hidden="1"/>
    </xf>
    <xf numFmtId="44" fontId="15" fillId="6" borderId="0" xfId="14" applyFont="1" applyFill="1" applyBorder="1" applyProtection="1">
      <protection locked="0" hidden="1"/>
    </xf>
    <xf numFmtId="44" fontId="15" fillId="6" borderId="0" xfId="0" applyNumberFormat="1" applyFont="1" applyFill="1" applyProtection="1">
      <protection locked="0" hidden="1"/>
    </xf>
    <xf numFmtId="0" fontId="15" fillId="6" borderId="1" xfId="0" applyFont="1" applyFill="1" applyBorder="1" applyProtection="1">
      <protection locked="0" hidden="1"/>
    </xf>
    <xf numFmtId="14" fontId="15" fillId="6" borderId="1" xfId="0" applyNumberFormat="1" applyFont="1" applyFill="1" applyBorder="1" applyProtection="1">
      <protection locked="0" hidden="1"/>
    </xf>
    <xf numFmtId="0" fontId="15" fillId="6" borderId="1" xfId="0" applyFont="1" applyFill="1" applyBorder="1" applyAlignment="1" applyProtection="1">
      <alignment horizontal="center"/>
      <protection locked="0" hidden="1"/>
    </xf>
    <xf numFmtId="7" fontId="11" fillId="7" borderId="48" xfId="6" applyNumberFormat="1" applyFont="1" applyFill="1" applyBorder="1" applyAlignment="1" applyProtection="1">
      <alignment vertical="center"/>
      <protection locked="0" hidden="1"/>
    </xf>
    <xf numFmtId="10" fontId="11" fillId="0" borderId="49" xfId="2" applyNumberFormat="1" applyFont="1" applyBorder="1" applyProtection="1">
      <protection hidden="1"/>
    </xf>
    <xf numFmtId="7" fontId="11" fillId="7" borderId="50" xfId="13" applyNumberFormat="1" applyFont="1" applyFill="1" applyBorder="1" applyProtection="1">
      <protection locked="0" hidden="1"/>
    </xf>
    <xf numFmtId="170" fontId="11" fillId="7" borderId="50" xfId="8" applyNumberFormat="1" applyFont="1" applyFill="1" applyBorder="1" applyProtection="1">
      <protection locked="0" hidden="1"/>
    </xf>
    <xf numFmtId="170" fontId="11" fillId="7" borderId="51" xfId="8" applyNumberFormat="1" applyFont="1" applyFill="1" applyBorder="1" applyProtection="1">
      <protection locked="0" hidden="1"/>
    </xf>
    <xf numFmtId="44" fontId="16" fillId="0" borderId="43" xfId="14" applyFont="1" applyBorder="1" applyAlignment="1" applyProtection="1">
      <protection hidden="1"/>
    </xf>
    <xf numFmtId="44" fontId="16" fillId="0" borderId="49" xfId="14" applyFont="1" applyBorder="1" applyAlignment="1" applyProtection="1">
      <protection hidden="1"/>
    </xf>
    <xf numFmtId="44" fontId="16" fillId="0" borderId="37" xfId="14" applyFont="1" applyFill="1" applyBorder="1" applyAlignment="1" applyProtection="1">
      <protection hidden="1"/>
    </xf>
    <xf numFmtId="44" fontId="16" fillId="0" borderId="46" xfId="14" applyFont="1" applyFill="1" applyBorder="1" applyAlignment="1" applyProtection="1">
      <protection hidden="1"/>
    </xf>
    <xf numFmtId="170" fontId="34" fillId="0" borderId="34" xfId="6" applyNumberFormat="1" applyFont="1" applyBorder="1" applyAlignment="1" applyProtection="1">
      <protection hidden="1"/>
    </xf>
    <xf numFmtId="170" fontId="34" fillId="0" borderId="24" xfId="12" applyNumberFormat="1" applyFont="1" applyBorder="1" applyAlignment="1" applyProtection="1">
      <protection hidden="1"/>
    </xf>
    <xf numFmtId="7" fontId="34" fillId="0" borderId="34" xfId="6" applyNumberFormat="1" applyFont="1" applyBorder="1" applyAlignment="1" applyProtection="1">
      <protection hidden="1"/>
    </xf>
    <xf numFmtId="0" fontId="34" fillId="0" borderId="34" xfId="8" applyFont="1" applyBorder="1" applyProtection="1">
      <protection hidden="1"/>
    </xf>
    <xf numFmtId="0" fontId="34" fillId="0" borderId="24" xfId="8" applyFont="1" applyBorder="1" applyAlignment="1" applyProtection="1">
      <alignment horizontal="center"/>
      <protection hidden="1"/>
    </xf>
    <xf numFmtId="14" fontId="0" fillId="0" borderId="0" xfId="0" applyNumberFormat="1"/>
    <xf numFmtId="3" fontId="0" fillId="0" borderId="0" xfId="0" applyNumberFormat="1"/>
    <xf numFmtId="10" fontId="0" fillId="0" borderId="0" xfId="0" applyNumberFormat="1"/>
    <xf numFmtId="2" fontId="0" fillId="0" borderId="0" xfId="0" applyNumberFormat="1"/>
    <xf numFmtId="7" fontId="0" fillId="0" borderId="0" xfId="0" applyNumberFormat="1"/>
    <xf numFmtId="44" fontId="0" fillId="0" borderId="0" xfId="0" applyNumberFormat="1"/>
    <xf numFmtId="190" fontId="0" fillId="0" borderId="0" xfId="0" applyNumberFormat="1" applyProtection="1">
      <protection hidden="1"/>
    </xf>
    <xf numFmtId="0" fontId="24" fillId="7" borderId="1" xfId="4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hidden="1"/>
    </xf>
    <xf numFmtId="44" fontId="25" fillId="0" borderId="0" xfId="14" applyFont="1" applyFill="1" applyBorder="1" applyAlignment="1" applyProtection="1">
      <alignment vertical="center"/>
    </xf>
    <xf numFmtId="182" fontId="25" fillId="0" borderId="0" xfId="14" applyNumberFormat="1" applyFont="1" applyFill="1" applyBorder="1" applyAlignment="1" applyProtection="1">
      <alignment vertical="center"/>
    </xf>
    <xf numFmtId="191" fontId="0" fillId="0" borderId="0" xfId="14" applyNumberFormat="1" applyFont="1" applyFill="1" applyBorder="1" applyAlignment="1" applyProtection="1">
      <protection hidden="1"/>
    </xf>
    <xf numFmtId="191" fontId="5" fillId="0" borderId="0" xfId="0" applyNumberFormat="1" applyFont="1" applyProtection="1">
      <protection hidden="1"/>
    </xf>
    <xf numFmtId="14" fontId="0" fillId="0" borderId="0" xfId="0" applyNumberFormat="1" applyAlignment="1">
      <alignment horizontal="center"/>
    </xf>
    <xf numFmtId="0" fontId="25" fillId="11" borderId="0" xfId="4" applyFont="1" applyFill="1" applyAlignment="1">
      <alignment vertical="center"/>
    </xf>
    <xf numFmtId="14" fontId="25" fillId="11" borderId="0" xfId="4" applyNumberFormat="1" applyFont="1" applyFill="1" applyAlignment="1">
      <alignment horizontal="center" vertical="center"/>
    </xf>
    <xf numFmtId="182" fontId="25" fillId="11" borderId="0" xfId="14" applyNumberFormat="1" applyFont="1" applyFill="1" applyBorder="1" applyAlignment="1" applyProtection="1">
      <alignment vertical="center"/>
    </xf>
    <xf numFmtId="44" fontId="25" fillId="11" borderId="0" xfId="14" applyFont="1" applyFill="1" applyBorder="1" applyAlignment="1" applyProtection="1">
      <alignment vertical="center"/>
    </xf>
    <xf numFmtId="10" fontId="15" fillId="0" borderId="0" xfId="2" applyNumberFormat="1"/>
    <xf numFmtId="0" fontId="48" fillId="12" borderId="1" xfId="15" applyFont="1" applyFill="1" applyBorder="1" applyAlignment="1">
      <alignment horizontal="center" vertical="top" wrapText="1"/>
    </xf>
    <xf numFmtId="14" fontId="48" fillId="12" borderId="1" xfId="15" applyNumberFormat="1" applyFont="1" applyFill="1" applyBorder="1" applyAlignment="1">
      <alignment horizontal="center" vertical="top" wrapText="1"/>
    </xf>
    <xf numFmtId="0" fontId="44" fillId="7" borderId="1" xfId="15" applyFont="1" applyFill="1" applyBorder="1" applyAlignment="1">
      <alignment horizontal="center" vertical="top" wrapText="1"/>
    </xf>
    <xf numFmtId="0" fontId="0" fillId="0" borderId="1" xfId="0" applyBorder="1"/>
    <xf numFmtId="188" fontId="0" fillId="0" borderId="1" xfId="14" applyNumberFormat="1" applyFont="1" applyBorder="1"/>
    <xf numFmtId="181" fontId="0" fillId="0" borderId="1" xfId="0" applyNumberFormat="1" applyBorder="1"/>
    <xf numFmtId="0" fontId="48" fillId="12" borderId="57" xfId="15" applyFont="1" applyFill="1" applyBorder="1" applyAlignment="1">
      <alignment horizontal="center" vertical="top" wrapText="1"/>
    </xf>
    <xf numFmtId="14" fontId="0" fillId="0" borderId="1" xfId="0" applyNumberFormat="1" applyBorder="1"/>
    <xf numFmtId="14" fontId="15" fillId="0" borderId="1" xfId="14" applyNumberFormat="1" applyFont="1" applyBorder="1"/>
    <xf numFmtId="197" fontId="1" fillId="5" borderId="1" xfId="15" applyNumberFormat="1" applyFont="1" applyFill="1" applyBorder="1" applyAlignment="1">
      <alignment horizontal="center" vertical="top"/>
    </xf>
    <xf numFmtId="44" fontId="39" fillId="0" borderId="0" xfId="14" applyFont="1" applyFill="1" applyBorder="1" applyAlignment="1" applyProtection="1">
      <alignment vertical="center"/>
    </xf>
    <xf numFmtId="169" fontId="1" fillId="5" borderId="1" xfId="15" applyNumberFormat="1" applyFont="1" applyFill="1" applyBorder="1" applyAlignment="1">
      <alignment horizontal="center" vertical="top"/>
    </xf>
    <xf numFmtId="0" fontId="12" fillId="6" borderId="2" xfId="0" applyFont="1" applyFill="1" applyBorder="1" applyAlignment="1" applyProtection="1">
      <alignment horizontal="left" vertical="center"/>
      <protection locked="0"/>
    </xf>
    <xf numFmtId="0" fontId="12" fillId="6" borderId="8" xfId="0" applyFont="1" applyFill="1" applyBorder="1" applyAlignment="1" applyProtection="1">
      <alignment horizontal="left" vertical="center"/>
      <protection locked="0"/>
    </xf>
    <xf numFmtId="0" fontId="12" fillId="6" borderId="19" xfId="0" applyFont="1" applyFill="1" applyBorder="1" applyAlignment="1" applyProtection="1">
      <alignment horizontal="left" vertical="center"/>
      <protection locked="0"/>
    </xf>
    <xf numFmtId="14" fontId="0" fillId="0" borderId="0" xfId="0" applyNumberFormat="1" applyAlignment="1" applyProtection="1">
      <alignment horizontal="left" vertical="center"/>
      <protection hidden="1"/>
    </xf>
    <xf numFmtId="0" fontId="12" fillId="0" borderId="0" xfId="0" applyFont="1" applyAlignment="1" applyProtection="1">
      <alignment vertical="center"/>
      <protection locked="0"/>
    </xf>
    <xf numFmtId="170" fontId="12" fillId="0" borderId="1" xfId="0" applyNumberFormat="1" applyFont="1" applyBorder="1" applyAlignment="1" applyProtection="1">
      <alignment horizontal="right" vertical="center"/>
      <protection locked="0"/>
    </xf>
    <xf numFmtId="0" fontId="12" fillId="0" borderId="0" xfId="0" applyFont="1" applyAlignment="1">
      <alignment vertical="center"/>
    </xf>
    <xf numFmtId="170" fontId="3" fillId="0" borderId="1" xfId="0" applyNumberFormat="1" applyFont="1" applyBorder="1" applyAlignment="1">
      <alignment vertical="center"/>
    </xf>
    <xf numFmtId="0" fontId="42" fillId="0" borderId="0" xfId="0" applyFont="1" applyAlignment="1">
      <alignment vertical="center"/>
    </xf>
    <xf numFmtId="0" fontId="9" fillId="0" borderId="0" xfId="0" applyFont="1"/>
    <xf numFmtId="0" fontId="43" fillId="0" borderId="0" xfId="0" applyFont="1"/>
    <xf numFmtId="0" fontId="15" fillId="0" borderId="0" xfId="0" applyFont="1"/>
    <xf numFmtId="187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94" fontId="3" fillId="4" borderId="1" xfId="0" applyNumberFormat="1" applyFont="1" applyFill="1" applyBorder="1" applyAlignment="1">
      <alignment horizontal="right" vertical="center"/>
    </xf>
    <xf numFmtId="170" fontId="3" fillId="0" borderId="1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195" fontId="3" fillId="4" borderId="53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73" fontId="3" fillId="4" borderId="54" xfId="0" applyNumberFormat="1" applyFont="1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195" fontId="3" fillId="4" borderId="55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73" fontId="3" fillId="4" borderId="56" xfId="0" applyNumberFormat="1" applyFont="1" applyFill="1" applyBorder="1" applyAlignment="1">
      <alignment vertical="center"/>
    </xf>
    <xf numFmtId="182" fontId="3" fillId="9" borderId="1" xfId="0" applyNumberFormat="1" applyFont="1" applyFill="1" applyBorder="1" applyAlignment="1">
      <alignment horizontal="center" vertical="center" wrapText="1"/>
    </xf>
    <xf numFmtId="173" fontId="3" fillId="6" borderId="1" xfId="0" applyNumberFormat="1" applyFont="1" applyFill="1" applyBorder="1" applyAlignment="1">
      <alignment horizontal="center"/>
    </xf>
    <xf numFmtId="0" fontId="31" fillId="0" borderId="0" xfId="0" applyFont="1"/>
    <xf numFmtId="0" fontId="9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49" fontId="44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193" fontId="12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0" fontId="45" fillId="0" borderId="0" xfId="0" applyFont="1" applyAlignment="1">
      <alignment vertical="center"/>
    </xf>
    <xf numFmtId="192" fontId="12" fillId="0" borderId="1" xfId="0" applyNumberFormat="1" applyFont="1" applyBorder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192" fontId="44" fillId="0" borderId="1" xfId="0" applyNumberFormat="1" applyFont="1" applyBorder="1" applyAlignment="1">
      <alignment vertical="center"/>
    </xf>
    <xf numFmtId="170" fontId="3" fillId="0" borderId="52" xfId="0" applyNumberFormat="1" applyFont="1" applyBorder="1" applyAlignment="1">
      <alignment vertical="center"/>
    </xf>
    <xf numFmtId="0" fontId="12" fillId="0" borderId="0" xfId="0" applyFont="1" applyAlignment="1">
      <alignment horizontal="left" vertical="center" indent="1"/>
    </xf>
    <xf numFmtId="44" fontId="3" fillId="4" borderId="24" xfId="0" applyNumberFormat="1" applyFont="1" applyFill="1" applyBorder="1" applyAlignment="1">
      <alignment vertical="center"/>
    </xf>
    <xf numFmtId="0" fontId="46" fillId="0" borderId="0" xfId="0" applyFont="1" applyAlignment="1">
      <alignment vertical="center"/>
    </xf>
    <xf numFmtId="44" fontId="12" fillId="0" borderId="0" xfId="0" applyNumberFormat="1" applyFont="1" applyAlignment="1">
      <alignment vertical="center"/>
    </xf>
    <xf numFmtId="181" fontId="44" fillId="0" borderId="0" xfId="0" applyNumberFormat="1" applyFont="1" applyAlignment="1">
      <alignment vertical="center"/>
    </xf>
    <xf numFmtId="181" fontId="12" fillId="0" borderId="0" xfId="0" applyNumberFormat="1" applyFont="1" applyAlignment="1">
      <alignment vertical="center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>
      <alignment horizontal="center"/>
    </xf>
    <xf numFmtId="14" fontId="25" fillId="0" borderId="0" xfId="4" applyNumberFormat="1" applyFont="1" applyAlignment="1">
      <alignment horizontal="center" vertical="center"/>
    </xf>
    <xf numFmtId="182" fontId="0" fillId="0" borderId="0" xfId="14" applyNumberFormat="1" applyFont="1" applyFill="1"/>
    <xf numFmtId="44" fontId="0" fillId="0" borderId="0" xfId="14" applyFont="1" applyFill="1"/>
    <xf numFmtId="0" fontId="0" fillId="0" borderId="0" xfId="0" applyAlignment="1" applyProtection="1">
      <alignment wrapText="1"/>
      <protection hidden="1"/>
    </xf>
    <xf numFmtId="182" fontId="0" fillId="8" borderId="0" xfId="14" applyNumberFormat="1" applyFont="1" applyFill="1" applyProtection="1">
      <protection locked="0" hidden="1"/>
    </xf>
    <xf numFmtId="191" fontId="0" fillId="7" borderId="0" xfId="14" applyNumberFormat="1" applyFont="1" applyFill="1" applyBorder="1" applyProtection="1"/>
    <xf numFmtId="7" fontId="0" fillId="0" borderId="0" xfId="14" applyNumberFormat="1" applyFont="1" applyFill="1" applyBorder="1" applyAlignment="1" applyProtection="1">
      <protection hidden="1"/>
    </xf>
    <xf numFmtId="44" fontId="0" fillId="8" borderId="0" xfId="14" applyFont="1" applyFill="1" applyProtection="1">
      <protection locked="0" hidden="1"/>
    </xf>
    <xf numFmtId="44" fontId="0" fillId="7" borderId="0" xfId="14" applyFont="1" applyFill="1" applyBorder="1" applyProtection="1"/>
    <xf numFmtId="0" fontId="0" fillId="8" borderId="0" xfId="0" applyFill="1" applyProtection="1">
      <protection hidden="1"/>
    </xf>
    <xf numFmtId="10" fontId="15" fillId="0" borderId="0" xfId="2" applyNumberFormat="1" applyProtection="1">
      <protection hidden="1"/>
    </xf>
    <xf numFmtId="14" fontId="0" fillId="0" borderId="0" xfId="0" applyNumberFormat="1" applyProtection="1">
      <protection hidden="1"/>
    </xf>
    <xf numFmtId="173" fontId="0" fillId="0" borderId="0" xfId="14" applyNumberFormat="1" applyFont="1" applyProtection="1">
      <protection hidden="1"/>
    </xf>
    <xf numFmtId="182" fontId="0" fillId="0" borderId="0" xfId="14" applyNumberFormat="1" applyFont="1" applyProtection="1">
      <protection hidden="1"/>
    </xf>
    <xf numFmtId="173" fontId="0" fillId="7" borderId="0" xfId="14" applyNumberFormat="1" applyFont="1" applyFill="1" applyProtection="1">
      <protection hidden="1"/>
    </xf>
    <xf numFmtId="44" fontId="0" fillId="0" borderId="0" xfId="14" applyFont="1" applyProtection="1">
      <protection hidden="1"/>
    </xf>
    <xf numFmtId="44" fontId="0" fillId="7" borderId="0" xfId="14" applyFont="1" applyFill="1" applyProtection="1">
      <protection hidden="1"/>
    </xf>
    <xf numFmtId="10" fontId="0" fillId="0" borderId="0" xfId="2" applyNumberFormat="1" applyFont="1" applyFill="1" applyBorder="1" applyAlignment="1" applyProtection="1">
      <alignment vertical="center"/>
    </xf>
    <xf numFmtId="10" fontId="15" fillId="0" borderId="0" xfId="2" applyNumberFormat="1" applyFill="1" applyBorder="1" applyAlignment="1" applyProtection="1">
      <alignment vertical="center"/>
    </xf>
    <xf numFmtId="10" fontId="15" fillId="0" borderId="0" xfId="2" applyNumberFormat="1" applyFill="1"/>
    <xf numFmtId="0" fontId="15" fillId="0" borderId="0" xfId="4" applyFont="1" applyAlignment="1" applyProtection="1">
      <alignment vertical="center"/>
      <protection locked="0"/>
    </xf>
    <xf numFmtId="0" fontId="15" fillId="0" borderId="2" xfId="4" applyFont="1" applyBorder="1" applyAlignment="1" applyProtection="1">
      <alignment vertical="center"/>
      <protection locked="0"/>
    </xf>
    <xf numFmtId="0" fontId="15" fillId="0" borderId="21" xfId="4" applyFont="1" applyBorder="1" applyAlignment="1" applyProtection="1">
      <alignment vertical="center"/>
      <protection locked="0"/>
    </xf>
    <xf numFmtId="0" fontId="15" fillId="0" borderId="12" xfId="4" applyFont="1" applyBorder="1" applyAlignment="1" applyProtection="1">
      <alignment vertical="center"/>
      <protection locked="0"/>
    </xf>
    <xf numFmtId="0" fontId="24" fillId="0" borderId="21" xfId="4" applyBorder="1" applyAlignment="1" applyProtection="1">
      <alignment vertical="center"/>
      <protection locked="0"/>
    </xf>
    <xf numFmtId="0" fontId="24" fillId="0" borderId="17" xfId="4" applyBorder="1" applyAlignment="1" applyProtection="1">
      <alignment vertical="center"/>
      <protection locked="0"/>
    </xf>
    <xf numFmtId="0" fontId="15" fillId="0" borderId="20" xfId="4" applyFont="1" applyBorder="1" applyAlignment="1" applyProtection="1">
      <alignment vertical="center"/>
      <protection locked="0"/>
    </xf>
    <xf numFmtId="0" fontId="15" fillId="0" borderId="17" xfId="4" applyFont="1" applyBorder="1" applyAlignment="1" applyProtection="1">
      <alignment vertical="center"/>
      <protection locked="0"/>
    </xf>
    <xf numFmtId="0" fontId="15" fillId="0" borderId="14" xfId="4" applyFont="1" applyBorder="1" applyAlignment="1" applyProtection="1">
      <alignment vertical="center"/>
      <protection locked="0"/>
    </xf>
    <xf numFmtId="0" fontId="3" fillId="0" borderId="0" xfId="13" applyFont="1" applyAlignment="1">
      <alignment vertical="center"/>
    </xf>
    <xf numFmtId="0" fontId="17" fillId="0" borderId="0" xfId="13" applyFont="1" applyAlignment="1">
      <alignment vertical="center"/>
    </xf>
    <xf numFmtId="0" fontId="17" fillId="0" borderId="0" xfId="4" applyFont="1" applyAlignment="1">
      <alignment vertical="center"/>
    </xf>
    <xf numFmtId="0" fontId="18" fillId="0" borderId="0" xfId="4" applyFont="1" applyAlignment="1">
      <alignment vertical="center"/>
    </xf>
    <xf numFmtId="0" fontId="28" fillId="0" borderId="0" xfId="13" applyFont="1" applyAlignment="1">
      <alignment vertical="center"/>
    </xf>
    <xf numFmtId="0" fontId="2" fillId="0" borderId="0" xfId="13" applyFont="1" applyAlignment="1">
      <alignment vertical="center"/>
    </xf>
    <xf numFmtId="0" fontId="2" fillId="0" borderId="0" xfId="4" applyFont="1" applyAlignment="1">
      <alignment vertical="center"/>
    </xf>
    <xf numFmtId="0" fontId="15" fillId="0" borderId="0" xfId="4" applyFont="1" applyAlignment="1">
      <alignment vertical="center"/>
    </xf>
    <xf numFmtId="0" fontId="19" fillId="0" borderId="0" xfId="4" applyFont="1" applyAlignment="1">
      <alignment vertical="center"/>
    </xf>
    <xf numFmtId="0" fontId="24" fillId="0" borderId="0" xfId="4" applyAlignment="1">
      <alignment vertical="center"/>
    </xf>
    <xf numFmtId="0" fontId="5" fillId="5" borderId="0" xfId="4" applyFont="1" applyFill="1" applyAlignment="1">
      <alignment vertical="center"/>
    </xf>
    <xf numFmtId="0" fontId="20" fillId="0" borderId="0" xfId="4" applyFont="1" applyAlignment="1">
      <alignment vertical="center"/>
    </xf>
    <xf numFmtId="0" fontId="23" fillId="0" borderId="0" xfId="13" applyAlignment="1">
      <alignment vertical="center"/>
    </xf>
    <xf numFmtId="0" fontId="21" fillId="0" borderId="0" xfId="4" applyFont="1" applyAlignment="1">
      <alignment vertical="center"/>
    </xf>
    <xf numFmtId="0" fontId="28" fillId="0" borderId="0" xfId="4" applyFont="1" applyAlignment="1">
      <alignment vertical="center"/>
    </xf>
    <xf numFmtId="0" fontId="0" fillId="0" borderId="0" xfId="13" applyFont="1" applyAlignment="1">
      <alignment horizontal="center" vertical="center"/>
    </xf>
    <xf numFmtId="0" fontId="15" fillId="0" borderId="1" xfId="13" applyFont="1" applyBorder="1" applyAlignment="1">
      <alignment horizontal="center" vertical="center"/>
    </xf>
    <xf numFmtId="0" fontId="0" fillId="0" borderId="0" xfId="4" applyFont="1" applyAlignment="1">
      <alignment vertical="center"/>
    </xf>
    <xf numFmtId="14" fontId="15" fillId="0" borderId="0" xfId="4" applyNumberFormat="1" applyFont="1" applyAlignment="1">
      <alignment vertical="center"/>
    </xf>
    <xf numFmtId="14" fontId="2" fillId="0" borderId="0" xfId="4" applyNumberFormat="1" applyFont="1" applyAlignment="1">
      <alignment vertical="center"/>
    </xf>
    <xf numFmtId="172" fontId="15" fillId="0" borderId="0" xfId="13" applyNumberFormat="1" applyFont="1" applyAlignment="1">
      <alignment vertical="center"/>
    </xf>
    <xf numFmtId="0" fontId="15" fillId="0" borderId="0" xfId="13" applyFont="1" applyAlignment="1">
      <alignment horizontal="center" vertical="center"/>
    </xf>
    <xf numFmtId="173" fontId="15" fillId="0" borderId="21" xfId="13" applyNumberFormat="1" applyFont="1" applyBorder="1" applyAlignment="1">
      <alignment vertical="center"/>
    </xf>
    <xf numFmtId="170" fontId="15" fillId="0" borderId="0" xfId="4" applyNumberFormat="1" applyFont="1" applyAlignment="1">
      <alignment vertical="center"/>
    </xf>
    <xf numFmtId="186" fontId="15" fillId="0" borderId="0" xfId="4" applyNumberFormat="1" applyFont="1" applyAlignment="1">
      <alignment vertical="center"/>
    </xf>
    <xf numFmtId="0" fontId="4" fillId="0" borderId="0" xfId="13" applyFont="1" applyAlignment="1">
      <alignment vertical="center"/>
    </xf>
    <xf numFmtId="0" fontId="4" fillId="0" borderId="0" xfId="13" quotePrefix="1" applyFont="1" applyAlignment="1">
      <alignment vertical="center"/>
    </xf>
    <xf numFmtId="0" fontId="26" fillId="0" borderId="0" xfId="4" applyFont="1" applyAlignment="1">
      <alignment vertical="center"/>
    </xf>
    <xf numFmtId="0" fontId="15" fillId="0" borderId="0" xfId="13" applyFont="1" applyAlignment="1">
      <alignment horizontal="right" vertical="center"/>
    </xf>
    <xf numFmtId="171" fontId="15" fillId="0" borderId="0" xfId="13" applyNumberFormat="1" applyFont="1" applyAlignment="1">
      <alignment horizontal="center" vertical="center"/>
    </xf>
    <xf numFmtId="174" fontId="2" fillId="0" borderId="0" xfId="13" applyNumberFormat="1" applyFont="1" applyAlignment="1">
      <alignment vertical="center"/>
    </xf>
    <xf numFmtId="175" fontId="2" fillId="0" borderId="0" xfId="13" applyNumberFormat="1" applyFont="1" applyAlignment="1">
      <alignment vertical="center"/>
    </xf>
    <xf numFmtId="175" fontId="2" fillId="0" borderId="0" xfId="4" applyNumberFormat="1" applyFont="1" applyAlignment="1">
      <alignment vertical="center"/>
    </xf>
    <xf numFmtId="0" fontId="4" fillId="0" borderId="0" xfId="5" applyFont="1" applyAlignment="1">
      <alignment vertical="center"/>
    </xf>
    <xf numFmtId="0" fontId="15" fillId="0" borderId="0" xfId="5" applyFont="1" applyAlignment="1">
      <alignment vertical="center"/>
    </xf>
    <xf numFmtId="174" fontId="15" fillId="0" borderId="0" xfId="13" applyNumberFormat="1" applyFont="1" applyAlignment="1">
      <alignment vertical="center"/>
    </xf>
    <xf numFmtId="175" fontId="15" fillId="0" borderId="0" xfId="13" applyNumberFormat="1" applyFont="1" applyAlignment="1">
      <alignment vertical="center"/>
    </xf>
    <xf numFmtId="175" fontId="15" fillId="0" borderId="0" xfId="4" applyNumberFormat="1" applyFont="1" applyAlignment="1">
      <alignment vertical="center"/>
    </xf>
    <xf numFmtId="0" fontId="6" fillId="0" borderId="0" xfId="13" applyFont="1" applyAlignment="1">
      <alignment vertical="center"/>
    </xf>
    <xf numFmtId="0" fontId="6" fillId="0" borderId="0" xfId="4" applyFont="1" applyAlignment="1">
      <alignment vertical="center"/>
    </xf>
    <xf numFmtId="0" fontId="27" fillId="0" borderId="0" xfId="4" applyFont="1" applyAlignment="1">
      <alignment vertical="center"/>
    </xf>
    <xf numFmtId="0" fontId="6" fillId="0" borderId="1" xfId="13" applyFont="1" applyBorder="1" applyAlignment="1">
      <alignment horizontal="center" vertical="center"/>
    </xf>
    <xf numFmtId="2" fontId="4" fillId="0" borderId="1" xfId="13" applyNumberFormat="1" applyFont="1" applyBorder="1" applyAlignment="1">
      <alignment horizontal="center" vertical="center"/>
    </xf>
    <xf numFmtId="0" fontId="4" fillId="0" borderId="0" xfId="4" applyFont="1" applyAlignment="1">
      <alignment vertical="center"/>
    </xf>
    <xf numFmtId="4" fontId="6" fillId="0" borderId="0" xfId="4" applyNumberFormat="1" applyFont="1" applyAlignment="1">
      <alignment vertical="center"/>
    </xf>
    <xf numFmtId="3" fontId="6" fillId="0" borderId="0" xfId="4" applyNumberFormat="1" applyFont="1" applyAlignment="1">
      <alignment vertical="center"/>
    </xf>
    <xf numFmtId="0" fontId="2" fillId="0" borderId="8" xfId="13" applyFont="1" applyBorder="1" applyAlignment="1">
      <alignment vertical="center"/>
    </xf>
    <xf numFmtId="0" fontId="23" fillId="0" borderId="8" xfId="13" applyBorder="1" applyAlignment="1">
      <alignment vertical="center"/>
    </xf>
    <xf numFmtId="0" fontId="15" fillId="0" borderId="1" xfId="13" applyFont="1" applyBorder="1" applyAlignment="1">
      <alignment vertical="center"/>
    </xf>
    <xf numFmtId="0" fontId="14" fillId="0" borderId="0" xfId="13" applyFont="1" applyAlignment="1">
      <alignment vertical="center"/>
    </xf>
    <xf numFmtId="0" fontId="14" fillId="0" borderId="0" xfId="4" applyFont="1" applyAlignment="1">
      <alignment vertical="center"/>
    </xf>
    <xf numFmtId="0" fontId="4" fillId="0" borderId="2" xfId="13" applyFont="1" applyBorder="1" applyAlignment="1">
      <alignment vertical="center"/>
    </xf>
    <xf numFmtId="0" fontId="33" fillId="0" borderId="8" xfId="13" applyFont="1" applyBorder="1" applyAlignment="1">
      <alignment vertical="center"/>
    </xf>
    <xf numFmtId="2" fontId="4" fillId="0" borderId="0" xfId="4" applyNumberFormat="1" applyFont="1" applyAlignment="1">
      <alignment vertical="center"/>
    </xf>
    <xf numFmtId="3" fontId="4" fillId="0" borderId="0" xfId="4" applyNumberFormat="1" applyFont="1" applyAlignment="1">
      <alignment vertical="center"/>
    </xf>
    <xf numFmtId="3" fontId="15" fillId="0" borderId="0" xfId="4" applyNumberFormat="1" applyFont="1" applyAlignment="1">
      <alignment vertical="center"/>
    </xf>
    <xf numFmtId="0" fontId="4" fillId="0" borderId="8" xfId="13" applyFont="1" applyBorder="1" applyAlignment="1">
      <alignment vertical="center"/>
    </xf>
    <xf numFmtId="0" fontId="33" fillId="0" borderId="0" xfId="13" applyFont="1" applyAlignment="1">
      <alignment vertical="center"/>
    </xf>
    <xf numFmtId="0" fontId="4" fillId="0" borderId="0" xfId="13" applyFont="1" applyAlignment="1">
      <alignment vertical="center" wrapText="1"/>
    </xf>
    <xf numFmtId="0" fontId="8" fillId="0" borderId="0" xfId="13" applyFont="1" applyAlignment="1">
      <alignment vertical="center"/>
    </xf>
    <xf numFmtId="0" fontId="9" fillId="0" borderId="0" xfId="13" applyFont="1" applyAlignment="1">
      <alignment vertical="center"/>
    </xf>
    <xf numFmtId="0" fontId="9" fillId="0" borderId="0" xfId="4" applyFont="1" applyAlignment="1">
      <alignment vertical="center"/>
    </xf>
    <xf numFmtId="0" fontId="15" fillId="0" borderId="1" xfId="13" applyFont="1" applyBorder="1" applyAlignment="1">
      <alignment vertical="center" wrapText="1"/>
    </xf>
    <xf numFmtId="0" fontId="15" fillId="0" borderId="2" xfId="13" applyFont="1" applyBorder="1" applyAlignment="1">
      <alignment vertical="center"/>
    </xf>
    <xf numFmtId="0" fontId="15" fillId="0" borderId="8" xfId="13" applyFont="1" applyBorder="1" applyAlignment="1">
      <alignment vertical="center"/>
    </xf>
    <xf numFmtId="166" fontId="15" fillId="0" borderId="0" xfId="4" applyNumberFormat="1" applyFont="1" applyAlignment="1">
      <alignment vertical="center"/>
    </xf>
    <xf numFmtId="166" fontId="15" fillId="0" borderId="0" xfId="13" applyNumberFormat="1" applyFont="1" applyAlignment="1">
      <alignment vertical="center"/>
    </xf>
    <xf numFmtId="0" fontId="15" fillId="0" borderId="0" xfId="13" applyFont="1" applyAlignment="1">
      <alignment vertical="center"/>
    </xf>
    <xf numFmtId="166" fontId="2" fillId="0" borderId="0" xfId="13" applyNumberFormat="1" applyFont="1" applyAlignment="1">
      <alignment vertical="center"/>
    </xf>
    <xf numFmtId="166" fontId="2" fillId="0" borderId="0" xfId="4" applyNumberFormat="1" applyFont="1" applyAlignment="1">
      <alignment vertical="center"/>
    </xf>
    <xf numFmtId="0" fontId="0" fillId="0" borderId="1" xfId="13" applyFont="1" applyBorder="1" applyAlignment="1">
      <alignment vertical="center" wrapText="1"/>
    </xf>
    <xf numFmtId="176" fontId="15" fillId="0" borderId="0" xfId="4" applyNumberFormat="1" applyFont="1" applyAlignment="1">
      <alignment vertical="center"/>
    </xf>
    <xf numFmtId="10" fontId="15" fillId="0" borderId="0" xfId="4" applyNumberFormat="1" applyFont="1" applyAlignment="1">
      <alignment vertical="center"/>
    </xf>
    <xf numFmtId="0" fontId="21" fillId="0" borderId="0" xfId="13" applyFont="1" applyAlignment="1">
      <alignment vertical="center"/>
    </xf>
    <xf numFmtId="0" fontId="13" fillId="0" borderId="0" xfId="13" applyFont="1" applyAlignment="1">
      <alignment vertical="center"/>
    </xf>
    <xf numFmtId="0" fontId="13" fillId="0" borderId="0" xfId="4" applyFont="1" applyAlignment="1">
      <alignment vertical="center"/>
    </xf>
    <xf numFmtId="0" fontId="22" fillId="0" borderId="0" xfId="4" applyFont="1" applyAlignment="1">
      <alignment vertical="center"/>
    </xf>
    <xf numFmtId="0" fontId="3" fillId="0" borderId="0" xfId="4" applyFont="1" applyAlignment="1">
      <alignment vertical="center"/>
    </xf>
    <xf numFmtId="0" fontId="15" fillId="0" borderId="0" xfId="4" applyFont="1" applyAlignment="1">
      <alignment horizontal="right" vertical="center"/>
    </xf>
    <xf numFmtId="0" fontId="12" fillId="0" borderId="0" xfId="4" applyFont="1" applyAlignment="1">
      <alignment vertical="center"/>
    </xf>
    <xf numFmtId="0" fontId="11" fillId="0" borderId="0" xfId="4" applyFont="1" applyAlignment="1">
      <alignment vertical="center"/>
    </xf>
    <xf numFmtId="191" fontId="25" fillId="0" borderId="0" xfId="14" applyNumberFormat="1" applyFont="1" applyFill="1" applyBorder="1" applyAlignment="1" applyProtection="1">
      <alignment vertical="center"/>
    </xf>
    <xf numFmtId="7" fontId="25" fillId="0" borderId="0" xfId="14" applyNumberFormat="1" applyFont="1" applyFill="1" applyBorder="1" applyAlignment="1" applyProtection="1">
      <alignment vertical="center"/>
    </xf>
    <xf numFmtId="196" fontId="0" fillId="0" borderId="0" xfId="0" applyNumberFormat="1"/>
    <xf numFmtId="0" fontId="5" fillId="7" borderId="2" xfId="13" applyFont="1" applyFill="1" applyBorder="1" applyAlignment="1" applyProtection="1">
      <alignment horizontal="center" vertical="center"/>
      <protection locked="0"/>
    </xf>
    <xf numFmtId="0" fontId="5" fillId="7" borderId="19" xfId="13" applyFont="1" applyFill="1" applyBorder="1" applyAlignment="1" applyProtection="1">
      <alignment horizontal="center" vertical="center"/>
      <protection locked="0"/>
    </xf>
    <xf numFmtId="183" fontId="5" fillId="7" borderId="2" xfId="13" applyNumberFormat="1" applyFont="1" applyFill="1" applyBorder="1" applyAlignment="1" applyProtection="1">
      <alignment horizontal="center" vertical="center"/>
      <protection locked="0"/>
    </xf>
    <xf numFmtId="183" fontId="5" fillId="7" borderId="19" xfId="13" applyNumberFormat="1" applyFont="1" applyFill="1" applyBorder="1" applyAlignment="1" applyProtection="1">
      <alignment horizontal="center" vertical="center"/>
      <protection locked="0"/>
    </xf>
    <xf numFmtId="0" fontId="2" fillId="0" borderId="20" xfId="13" applyFont="1" applyBorder="1" applyAlignment="1">
      <alignment horizontal="center" vertical="center"/>
    </xf>
    <xf numFmtId="0" fontId="5" fillId="7" borderId="2" xfId="13" applyFont="1" applyFill="1" applyBorder="1" applyAlignment="1" applyProtection="1">
      <alignment vertical="center"/>
      <protection locked="0"/>
    </xf>
    <xf numFmtId="0" fontId="5" fillId="7" borderId="8" xfId="13" applyFont="1" applyFill="1" applyBorder="1" applyAlignment="1" applyProtection="1">
      <alignment vertical="center"/>
      <protection locked="0"/>
    </xf>
    <xf numFmtId="0" fontId="5" fillId="7" borderId="19" xfId="13" applyFont="1" applyFill="1" applyBorder="1" applyAlignment="1" applyProtection="1">
      <alignment vertical="center"/>
      <protection locked="0"/>
    </xf>
    <xf numFmtId="0" fontId="15" fillId="0" borderId="1" xfId="13" applyFont="1" applyBorder="1" applyAlignment="1">
      <alignment vertical="center" wrapText="1"/>
    </xf>
    <xf numFmtId="0" fontId="15" fillId="0" borderId="2" xfId="5" applyFont="1" applyBorder="1" applyAlignment="1">
      <alignment vertical="center" wrapText="1"/>
    </xf>
    <xf numFmtId="0" fontId="15" fillId="0" borderId="8" xfId="5" applyFont="1" applyBorder="1" applyAlignment="1">
      <alignment vertical="center" wrapText="1"/>
    </xf>
    <xf numFmtId="0" fontId="15" fillId="0" borderId="19" xfId="5" applyFont="1" applyBorder="1" applyAlignment="1">
      <alignment vertical="center" wrapText="1"/>
    </xf>
    <xf numFmtId="0" fontId="15" fillId="0" borderId="2" xfId="13" applyFont="1" applyBorder="1" applyAlignment="1">
      <alignment vertical="center"/>
    </xf>
    <xf numFmtId="0" fontId="15" fillId="0" borderId="8" xfId="13" applyFont="1" applyBorder="1" applyAlignment="1">
      <alignment vertical="center"/>
    </xf>
    <xf numFmtId="0" fontId="15" fillId="0" borderId="19" xfId="13" applyFont="1" applyBorder="1" applyAlignment="1">
      <alignment vertical="center"/>
    </xf>
    <xf numFmtId="0" fontId="15" fillId="7" borderId="2" xfId="13" applyFont="1" applyFill="1" applyBorder="1" applyAlignment="1" applyProtection="1">
      <alignment horizontal="center" vertical="center"/>
      <protection locked="0"/>
    </xf>
    <xf numFmtId="0" fontId="15" fillId="7" borderId="19" xfId="13" applyFont="1" applyFill="1" applyBorder="1" applyAlignment="1" applyProtection="1">
      <alignment horizontal="center" vertical="center"/>
      <protection locked="0"/>
    </xf>
    <xf numFmtId="0" fontId="0" fillId="7" borderId="2" xfId="13" applyFont="1" applyFill="1" applyBorder="1" applyAlignment="1" applyProtection="1">
      <alignment vertical="center"/>
      <protection locked="0"/>
    </xf>
    <xf numFmtId="0" fontId="0" fillId="7" borderId="8" xfId="13" applyFont="1" applyFill="1" applyBorder="1" applyAlignment="1" applyProtection="1">
      <alignment vertical="center"/>
      <protection locked="0"/>
    </xf>
    <xf numFmtId="0" fontId="0" fillId="7" borderId="19" xfId="13" applyFont="1" applyFill="1" applyBorder="1" applyAlignment="1" applyProtection="1">
      <alignment vertical="center"/>
      <protection locked="0"/>
    </xf>
    <xf numFmtId="0" fontId="6" fillId="0" borderId="20" xfId="13" applyFont="1" applyBorder="1" applyAlignment="1">
      <alignment horizontal="center" vertical="center"/>
    </xf>
    <xf numFmtId="0" fontId="6" fillId="0" borderId="1" xfId="13" applyFont="1" applyBorder="1" applyAlignment="1">
      <alignment horizontal="center" vertical="center"/>
    </xf>
    <xf numFmtId="0" fontId="4" fillId="7" borderId="2" xfId="13" applyFont="1" applyFill="1" applyBorder="1" applyAlignment="1" applyProtection="1">
      <alignment horizontal="center" vertical="center"/>
      <protection locked="0"/>
    </xf>
    <xf numFmtId="0" fontId="4" fillId="7" borderId="19" xfId="13" applyFont="1" applyFill="1" applyBorder="1" applyAlignment="1" applyProtection="1">
      <alignment horizontal="center" vertical="center"/>
      <protection locked="0"/>
    </xf>
    <xf numFmtId="0" fontId="4" fillId="0" borderId="8" xfId="13" applyFont="1" applyBorder="1" applyAlignment="1">
      <alignment vertical="center"/>
    </xf>
    <xf numFmtId="0" fontId="0" fillId="0" borderId="0" xfId="13" applyFont="1" applyAlignment="1">
      <alignment horizontal="left" vertical="center"/>
    </xf>
    <xf numFmtId="0" fontId="15" fillId="7" borderId="8" xfId="13" applyFont="1" applyFill="1" applyBorder="1" applyAlignment="1" applyProtection="1">
      <alignment vertical="center"/>
      <protection locked="0"/>
    </xf>
    <xf numFmtId="0" fontId="15" fillId="7" borderId="19" xfId="13" applyFont="1" applyFill="1" applyBorder="1" applyAlignment="1" applyProtection="1">
      <alignment vertical="center"/>
      <protection locked="0"/>
    </xf>
    <xf numFmtId="166" fontId="15" fillId="0" borderId="2" xfId="13" applyNumberFormat="1" applyFont="1" applyBorder="1" applyAlignment="1">
      <alignment vertical="center"/>
    </xf>
    <xf numFmtId="166" fontId="15" fillId="0" borderId="8" xfId="13" applyNumberFormat="1" applyFont="1" applyBorder="1" applyAlignment="1">
      <alignment vertical="center"/>
    </xf>
    <xf numFmtId="166" fontId="15" fillId="0" borderId="19" xfId="13" applyNumberFormat="1" applyFont="1" applyBorder="1" applyAlignment="1">
      <alignment vertical="center"/>
    </xf>
    <xf numFmtId="176" fontId="0" fillId="7" borderId="2" xfId="13" applyNumberFormat="1" applyFont="1" applyFill="1" applyBorder="1" applyAlignment="1" applyProtection="1">
      <alignment horizontal="center" vertical="center"/>
      <protection locked="0"/>
    </xf>
    <xf numFmtId="176" fontId="0" fillId="7" borderId="8" xfId="13" applyNumberFormat="1" applyFont="1" applyFill="1" applyBorder="1" applyAlignment="1" applyProtection="1">
      <alignment horizontal="center" vertical="center"/>
      <protection locked="0"/>
    </xf>
    <xf numFmtId="176" fontId="0" fillId="7" borderId="19" xfId="13" applyNumberFormat="1" applyFont="1" applyFill="1" applyBorder="1" applyAlignment="1" applyProtection="1">
      <alignment horizontal="center" vertical="center"/>
      <protection locked="0"/>
    </xf>
    <xf numFmtId="0" fontId="0" fillId="0" borderId="2" xfId="5" applyFont="1" applyBorder="1" applyAlignment="1">
      <alignment vertical="center" wrapText="1"/>
    </xf>
    <xf numFmtId="0" fontId="15" fillId="0" borderId="0" xfId="13" applyFont="1" applyAlignment="1">
      <alignment vertical="center"/>
    </xf>
    <xf numFmtId="0" fontId="0" fillId="0" borderId="1" xfId="13" applyFont="1" applyBorder="1" applyAlignment="1">
      <alignment vertical="center" wrapText="1"/>
    </xf>
    <xf numFmtId="0" fontId="11" fillId="0" borderId="0" xfId="4" applyFont="1" applyAlignment="1">
      <alignment vertical="center"/>
    </xf>
    <xf numFmtId="2" fontId="0" fillId="7" borderId="2" xfId="13" applyNumberFormat="1" applyFont="1" applyFill="1" applyBorder="1" applyAlignment="1" applyProtection="1">
      <alignment horizontal="center" vertical="center"/>
      <protection locked="0"/>
    </xf>
    <xf numFmtId="2" fontId="0" fillId="7" borderId="19" xfId="13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hidden="1"/>
    </xf>
    <xf numFmtId="0" fontId="15" fillId="0" borderId="0" xfId="0" applyFont="1" applyAlignment="1" applyProtection="1">
      <alignment horizontal="center"/>
      <protection hidden="1"/>
    </xf>
    <xf numFmtId="169" fontId="15" fillId="0" borderId="0" xfId="0" applyNumberFormat="1" applyFont="1" applyAlignment="1" applyProtection="1">
      <alignment horizontal="right"/>
      <protection hidden="1"/>
    </xf>
    <xf numFmtId="44" fontId="15" fillId="0" borderId="0" xfId="14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15" fillId="4" borderId="0" xfId="0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0" fillId="4" borderId="0" xfId="0" applyFill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>
      <alignment horizontal="center"/>
    </xf>
    <xf numFmtId="0" fontId="42" fillId="0" borderId="6" xfId="8" applyFont="1" applyBorder="1" applyAlignment="1" applyProtection="1">
      <alignment horizontal="center" vertical="center"/>
      <protection hidden="1"/>
    </xf>
    <xf numFmtId="0" fontId="42" fillId="0" borderId="4" xfId="8" applyFont="1" applyBorder="1" applyAlignment="1" applyProtection="1">
      <alignment horizontal="center" vertical="center"/>
      <protection hidden="1"/>
    </xf>
    <xf numFmtId="0" fontId="42" fillId="0" borderId="5" xfId="8" applyFont="1" applyBorder="1" applyAlignment="1" applyProtection="1">
      <alignment horizontal="center" vertical="center"/>
      <protection hidden="1"/>
    </xf>
    <xf numFmtId="0" fontId="42" fillId="0" borderId="10" xfId="8" applyFont="1" applyBorder="1" applyAlignment="1" applyProtection="1">
      <alignment horizontal="center" vertical="center"/>
      <protection hidden="1"/>
    </xf>
    <xf numFmtId="0" fontId="42" fillId="0" borderId="11" xfId="8" applyFont="1" applyBorder="1" applyAlignment="1" applyProtection="1">
      <alignment horizontal="center" vertical="center"/>
      <protection hidden="1"/>
    </xf>
    <xf numFmtId="0" fontId="42" fillId="0" borderId="18" xfId="8" applyFont="1" applyBorder="1" applyAlignment="1" applyProtection="1">
      <alignment horizontal="center" vertical="center"/>
      <protection hidden="1"/>
    </xf>
    <xf numFmtId="0" fontId="34" fillId="0" borderId="25" xfId="8" applyFont="1" applyBorder="1" applyAlignment="1" applyProtection="1">
      <alignment horizontal="left"/>
      <protection hidden="1"/>
    </xf>
    <xf numFmtId="0" fontId="34" fillId="0" borderId="26" xfId="8" applyFont="1" applyBorder="1" applyAlignment="1" applyProtection="1">
      <alignment horizontal="left"/>
      <protection hidden="1"/>
    </xf>
    <xf numFmtId="0" fontId="34" fillId="0" borderId="27" xfId="8" applyFont="1" applyBorder="1" applyAlignment="1" applyProtection="1">
      <alignment horizontal="left"/>
      <protection hidden="1"/>
    </xf>
    <xf numFmtId="0" fontId="15" fillId="0" borderId="8" xfId="8" applyBorder="1" applyAlignment="1" applyProtection="1">
      <alignment horizontal="left" vertical="center"/>
      <protection hidden="1"/>
    </xf>
    <xf numFmtId="0" fontId="15" fillId="0" borderId="13" xfId="8" applyBorder="1" applyAlignment="1" applyProtection="1">
      <alignment horizontal="left" vertical="center"/>
      <protection hidden="1"/>
    </xf>
    <xf numFmtId="0" fontId="36" fillId="2" borderId="6" xfId="8" applyFont="1" applyFill="1" applyBorder="1" applyAlignment="1" applyProtection="1">
      <alignment horizontal="center" vertical="center"/>
      <protection hidden="1"/>
    </xf>
    <xf numFmtId="0" fontId="36" fillId="2" borderId="4" xfId="8" applyFont="1" applyFill="1" applyBorder="1" applyAlignment="1" applyProtection="1">
      <alignment horizontal="center" vertical="center"/>
      <protection hidden="1"/>
    </xf>
    <xf numFmtId="0" fontId="36" fillId="2" borderId="5" xfId="8" applyFont="1" applyFill="1" applyBorder="1" applyAlignment="1" applyProtection="1">
      <alignment horizontal="center" vertical="center"/>
      <protection hidden="1"/>
    </xf>
    <xf numFmtId="0" fontId="36" fillId="2" borderId="10" xfId="8" applyFont="1" applyFill="1" applyBorder="1" applyAlignment="1" applyProtection="1">
      <alignment horizontal="center" vertical="center"/>
      <protection hidden="1"/>
    </xf>
    <xf numFmtId="0" fontId="36" fillId="2" borderId="11" xfId="8" applyFont="1" applyFill="1" applyBorder="1" applyAlignment="1" applyProtection="1">
      <alignment horizontal="center" vertical="center"/>
      <protection hidden="1"/>
    </xf>
    <xf numFmtId="0" fontId="36" fillId="2" borderId="18" xfId="8" applyFont="1" applyFill="1" applyBorder="1" applyAlignment="1" applyProtection="1">
      <alignment horizontal="center" vertical="center"/>
      <protection hidden="1"/>
    </xf>
    <xf numFmtId="0" fontId="36" fillId="2" borderId="0" xfId="8" applyFont="1" applyFill="1" applyAlignment="1" applyProtection="1">
      <alignment horizontal="center" vertical="center"/>
      <protection hidden="1"/>
    </xf>
    <xf numFmtId="0" fontId="15" fillId="0" borderId="7" xfId="8" applyBorder="1" applyAlignment="1" applyProtection="1">
      <alignment horizontal="left" vertical="center" wrapText="1"/>
      <protection hidden="1"/>
    </xf>
    <xf numFmtId="0" fontId="15" fillId="0" borderId="8" xfId="8" applyBorder="1" applyAlignment="1" applyProtection="1">
      <alignment horizontal="left" vertical="center" wrapText="1"/>
      <protection hidden="1"/>
    </xf>
    <xf numFmtId="0" fontId="15" fillId="0" borderId="9" xfId="8" applyBorder="1" applyAlignment="1" applyProtection="1">
      <alignment horizontal="left" vertical="center" wrapText="1"/>
      <protection hidden="1"/>
    </xf>
    <xf numFmtId="0" fontId="15" fillId="0" borderId="30" xfId="8" applyBorder="1" applyAlignment="1" applyProtection="1">
      <alignment horizontal="left" vertical="center" wrapText="1"/>
      <protection hidden="1"/>
    </xf>
    <xf numFmtId="0" fontId="15" fillId="0" borderId="31" xfId="8" applyBorder="1" applyAlignment="1" applyProtection="1">
      <alignment horizontal="left" vertical="center" wrapText="1"/>
      <protection hidden="1"/>
    </xf>
    <xf numFmtId="0" fontId="15" fillId="0" borderId="32" xfId="8" applyBorder="1" applyAlignment="1" applyProtection="1">
      <alignment horizontal="left" vertical="center" wrapText="1"/>
      <protection hidden="1"/>
    </xf>
    <xf numFmtId="0" fontId="34" fillId="0" borderId="0" xfId="8" applyFont="1" applyAlignment="1" applyProtection="1">
      <alignment horizontal="left"/>
      <protection hidden="1"/>
    </xf>
    <xf numFmtId="0" fontId="0" fillId="0" borderId="7" xfId="8" applyFont="1" applyBorder="1" applyAlignment="1" applyProtection="1">
      <alignment horizontal="left" vertical="center" wrapText="1"/>
      <protection hidden="1"/>
    </xf>
    <xf numFmtId="0" fontId="0" fillId="0" borderId="28" xfId="8" applyFont="1" applyBorder="1" applyAlignment="1" applyProtection="1">
      <alignment horizontal="left" vertical="center" wrapText="1"/>
      <protection hidden="1"/>
    </xf>
    <xf numFmtId="0" fontId="0" fillId="0" borderId="29" xfId="0" applyBorder="1" applyAlignment="1" applyProtection="1">
      <alignment horizontal="left" vertical="center" wrapText="1"/>
      <protection hidden="1"/>
    </xf>
    <xf numFmtId="0" fontId="0" fillId="0" borderId="15" xfId="0" applyBorder="1" applyAlignment="1" applyProtection="1">
      <alignment horizontal="left" vertical="center" wrapText="1"/>
      <protection hidden="1"/>
    </xf>
    <xf numFmtId="0" fontId="36" fillId="2" borderId="25" xfId="8" applyFont="1" applyFill="1" applyBorder="1" applyAlignment="1" applyProtection="1">
      <alignment horizontal="center" vertical="center"/>
      <protection hidden="1"/>
    </xf>
    <xf numFmtId="0" fontId="36" fillId="2" borderId="26" xfId="8" applyFont="1" applyFill="1" applyBorder="1" applyAlignment="1" applyProtection="1">
      <alignment horizontal="center" vertical="center"/>
      <protection hidden="1"/>
    </xf>
    <xf numFmtId="0" fontId="36" fillId="2" borderId="27" xfId="8" applyFont="1" applyFill="1" applyBorder="1" applyAlignment="1" applyProtection="1">
      <alignment horizontal="center" vertical="center"/>
      <protection hidden="1"/>
    </xf>
    <xf numFmtId="1" fontId="36" fillId="2" borderId="25" xfId="8" applyNumberFormat="1" applyFont="1" applyFill="1" applyBorder="1" applyAlignment="1" applyProtection="1">
      <alignment horizontal="center" vertical="center"/>
      <protection hidden="1"/>
    </xf>
    <xf numFmtId="1" fontId="36" fillId="2" borderId="26" xfId="8" applyNumberFormat="1" applyFont="1" applyFill="1" applyBorder="1" applyAlignment="1" applyProtection="1">
      <alignment horizontal="center" vertical="center"/>
      <protection hidden="1"/>
    </xf>
    <xf numFmtId="1" fontId="36" fillId="2" borderId="27" xfId="8" applyNumberFormat="1" applyFont="1" applyFill="1" applyBorder="1" applyAlignment="1" applyProtection="1">
      <alignment horizontal="center" vertical="center"/>
      <protection hidden="1"/>
    </xf>
    <xf numFmtId="0" fontId="15" fillId="0" borderId="11" xfId="8" applyBorder="1" applyAlignment="1" applyProtection="1">
      <alignment horizontal="left"/>
      <protection hidden="1"/>
    </xf>
    <xf numFmtId="0" fontId="34" fillId="6" borderId="25" xfId="8" applyFont="1" applyFill="1" applyBorder="1" applyAlignment="1" applyProtection="1">
      <alignment horizontal="center"/>
      <protection hidden="1"/>
    </xf>
    <xf numFmtId="0" fontId="34" fillId="6" borderId="26" xfId="8" applyFont="1" applyFill="1" applyBorder="1" applyAlignment="1" applyProtection="1">
      <alignment horizontal="center"/>
      <protection hidden="1"/>
    </xf>
    <xf numFmtId="0" fontId="34" fillId="6" borderId="27" xfId="8" applyFont="1" applyFill="1" applyBorder="1" applyAlignment="1" applyProtection="1">
      <alignment horizontal="center"/>
      <protection hidden="1"/>
    </xf>
    <xf numFmtId="171" fontId="34" fillId="6" borderId="25" xfId="8" applyNumberFormat="1" applyFont="1" applyFill="1" applyBorder="1" applyAlignment="1" applyProtection="1">
      <alignment horizontal="center"/>
      <protection hidden="1"/>
    </xf>
    <xf numFmtId="171" fontId="34" fillId="6" borderId="27" xfId="8" applyNumberFormat="1" applyFont="1" applyFill="1" applyBorder="1" applyAlignment="1" applyProtection="1">
      <alignment horizontal="center"/>
      <protection hidden="1"/>
    </xf>
    <xf numFmtId="0" fontId="12" fillId="6" borderId="2" xfId="0" applyFont="1" applyFill="1" applyBorder="1" applyAlignment="1" applyProtection="1">
      <alignment horizontal="left" vertical="center"/>
      <protection locked="0"/>
    </xf>
    <xf numFmtId="0" fontId="12" fillId="6" borderId="8" xfId="0" applyFont="1" applyFill="1" applyBorder="1" applyAlignment="1" applyProtection="1">
      <alignment horizontal="left" vertical="center"/>
      <protection locked="0"/>
    </xf>
    <xf numFmtId="0" fontId="12" fillId="6" borderId="19" xfId="0" applyFont="1" applyFill="1" applyBorder="1" applyAlignment="1" applyProtection="1">
      <alignment horizontal="left" vertical="center"/>
      <protection locked="0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19" xfId="0" applyFont="1" applyFill="1" applyBorder="1" applyAlignment="1">
      <alignment horizontal="center" vertical="center" wrapText="1"/>
    </xf>
    <xf numFmtId="192" fontId="3" fillId="0" borderId="1" xfId="0" applyNumberFormat="1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193" fontId="3" fillId="0" borderId="1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0" fillId="6" borderId="1" xfId="0" applyFont="1" applyFill="1" applyBorder="1" applyProtection="1">
      <protection locked="0" hidden="1"/>
    </xf>
  </cellXfs>
  <cellStyles count="16">
    <cellStyle name="Euro" xfId="1" xr:uid="{00000000-0005-0000-0000-000000000000}"/>
    <cellStyle name="Komma 2" xfId="9" xr:uid="{00000000-0005-0000-0000-000001000000}"/>
    <cellStyle name="Prozent" xfId="2" builtinId="5"/>
    <cellStyle name="Prozent 2" xfId="3" xr:uid="{00000000-0005-0000-0000-000003000000}"/>
    <cellStyle name="Prozent 2 2" xfId="12" xr:uid="{00000000-0005-0000-0000-000004000000}"/>
    <cellStyle name="Standard" xfId="0" builtinId="0"/>
    <cellStyle name="Standard 2" xfId="4" xr:uid="{00000000-0005-0000-0000-000006000000}"/>
    <cellStyle name="Standard 2 2" xfId="8" xr:uid="{00000000-0005-0000-0000-000007000000}"/>
    <cellStyle name="Standard 2 2 2" xfId="13" xr:uid="{00000000-0005-0000-0000-000008000000}"/>
    <cellStyle name="Standard 3" xfId="7" xr:uid="{00000000-0005-0000-0000-000009000000}"/>
    <cellStyle name="Standard 4" xfId="10" xr:uid="{00000000-0005-0000-0000-00000A000000}"/>
    <cellStyle name="Standard 5" xfId="11" xr:uid="{00000000-0005-0000-0000-00000B000000}"/>
    <cellStyle name="Standard_21 9 2010 Nachweis vereinfachtes Verfahren" xfId="5" xr:uid="{00000000-0005-0000-0000-00000C000000}"/>
    <cellStyle name="Standard_Stat Einrichtungen" xfId="15" xr:uid="{F548B59C-2717-49A1-AD47-2505EEC17696}"/>
    <cellStyle name="Währung" xfId="14" builtinId="4"/>
    <cellStyle name="Währung 2" xfId="6" xr:uid="{00000000-0005-0000-0000-00000E000000}"/>
  </cellStyles>
  <dxfs count="1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CEC"/>
      <rgbColor rgb="00FF0000"/>
      <rgbColor rgb="0000FF00"/>
      <rgbColor rgb="000000FF"/>
      <rgbColor rgb="00FFFF00"/>
      <rgbColor rgb="00FF00FF"/>
      <rgbColor rgb="0000FFFF"/>
      <rgbColor rgb="00BA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BB"/>
      <rgbColor rgb="00CCFFFF"/>
      <rgbColor rgb="00660066"/>
      <rgbColor rgb="00FF8080"/>
      <rgbColor rgb="000066CC"/>
      <rgbColor rgb="00C9D6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E5FF"/>
      <rgbColor rgb="00D1FFC3"/>
      <rgbColor rgb="00FFFF99"/>
      <rgbColor rgb="0099CCFF"/>
      <rgbColor rgb="00FF99CC"/>
      <rgbColor rgb="00CC99FF"/>
      <rgbColor rgb="00FFE8D1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  <color rgb="FFE5FFE5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rechnungsschema_2025_v1.07%20intern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C9FFC9"/>
    <pageSetUpPr fitToPage="1"/>
  </sheetPr>
  <dimension ref="A1:Q133"/>
  <sheetViews>
    <sheetView tabSelected="1" zoomScaleNormal="100" workbookViewId="0">
      <selection activeCell="D93" sqref="D93"/>
    </sheetView>
  </sheetViews>
  <sheetFormatPr baseColWidth="10" defaultColWidth="11.42578125" defaultRowHeight="14.25"/>
  <cols>
    <col min="1" max="1" width="6.42578125" style="290" customWidth="1"/>
    <col min="2" max="2" width="11.28515625" style="290" customWidth="1"/>
    <col min="3" max="5" width="16.7109375" style="290" customWidth="1"/>
    <col min="6" max="6" width="16.42578125" style="290" customWidth="1"/>
    <col min="7" max="7" width="11.7109375" style="290" customWidth="1"/>
    <col min="8" max="8" width="14.28515625" style="290" customWidth="1"/>
    <col min="9" max="9" width="10.7109375" style="290" customWidth="1"/>
    <col min="10" max="10" width="6.42578125" style="290" customWidth="1"/>
    <col min="11" max="19" width="16.28515625" style="290" customWidth="1"/>
    <col min="20" max="16384" width="11.42578125" style="290"/>
  </cols>
  <sheetData>
    <row r="1" spans="1:17" s="284" customFormat="1" ht="15" customHeight="1">
      <c r="A1" s="281" t="s">
        <v>71</v>
      </c>
      <c r="B1" s="281"/>
      <c r="C1" s="281"/>
      <c r="D1" s="282"/>
      <c r="E1" s="282"/>
      <c r="F1" s="282"/>
      <c r="G1" s="282"/>
      <c r="H1" s="283"/>
      <c r="I1" s="283"/>
      <c r="J1" s="283"/>
      <c r="K1" s="283"/>
      <c r="L1" s="283"/>
      <c r="M1" s="283"/>
      <c r="N1" s="283"/>
      <c r="O1" s="283"/>
      <c r="P1" s="283"/>
      <c r="Q1" s="283"/>
    </row>
    <row r="2" spans="1:17" ht="6" customHeight="1">
      <c r="A2" s="285"/>
      <c r="B2" s="285"/>
      <c r="C2" s="285"/>
      <c r="D2" s="285"/>
      <c r="E2" s="285"/>
      <c r="F2" s="285"/>
      <c r="G2" s="286"/>
      <c r="H2" s="287"/>
      <c r="I2" s="287"/>
      <c r="J2" s="1"/>
      <c r="K2" s="288"/>
      <c r="L2" s="288"/>
      <c r="M2" s="288"/>
      <c r="N2" s="288"/>
      <c r="O2" s="289"/>
    </row>
    <row r="3" spans="1:17" ht="15" customHeight="1">
      <c r="A3" s="369" t="s">
        <v>1</v>
      </c>
      <c r="B3" s="369"/>
      <c r="C3" s="369"/>
      <c r="D3" s="369"/>
      <c r="E3" s="369" t="s">
        <v>0</v>
      </c>
      <c r="F3" s="369"/>
      <c r="G3" s="369"/>
      <c r="H3" s="287"/>
      <c r="I3" s="287"/>
      <c r="J3" s="287"/>
      <c r="K3" s="287"/>
      <c r="L3" s="287"/>
      <c r="M3" s="287"/>
      <c r="N3" s="1"/>
    </row>
    <row r="4" spans="1:17" ht="15" customHeight="1">
      <c r="A4" s="370" t="s">
        <v>435</v>
      </c>
      <c r="B4" s="371"/>
      <c r="C4" s="371"/>
      <c r="D4" s="372"/>
      <c r="E4" s="370" t="s">
        <v>435</v>
      </c>
      <c r="F4" s="371"/>
      <c r="G4" s="372"/>
      <c r="H4" s="291"/>
      <c r="I4" s="288"/>
      <c r="J4" s="288"/>
      <c r="K4" s="288"/>
      <c r="L4" s="288"/>
      <c r="M4" s="292"/>
      <c r="N4" s="1"/>
    </row>
    <row r="5" spans="1:17" ht="15" customHeight="1">
      <c r="A5" s="370" t="s">
        <v>436</v>
      </c>
      <c r="B5" s="371"/>
      <c r="C5" s="371"/>
      <c r="D5" s="372"/>
      <c r="E5" s="370" t="s">
        <v>436</v>
      </c>
      <c r="F5" s="371"/>
      <c r="G5" s="372"/>
      <c r="H5" s="291"/>
      <c r="I5" s="288"/>
      <c r="J5" s="1"/>
      <c r="K5" s="1"/>
      <c r="L5" s="1"/>
      <c r="M5" s="1"/>
      <c r="N5" s="1"/>
    </row>
    <row r="6" spans="1:17" ht="15" customHeight="1">
      <c r="A6" s="367">
        <v>44388</v>
      </c>
      <c r="B6" s="368"/>
      <c r="C6" s="365" t="s">
        <v>225</v>
      </c>
      <c r="D6" s="366"/>
      <c r="E6" s="8">
        <v>44388</v>
      </c>
      <c r="F6" s="365" t="s">
        <v>225</v>
      </c>
      <c r="G6" s="366"/>
      <c r="H6" s="291"/>
      <c r="I6" s="288"/>
      <c r="J6" s="1"/>
      <c r="K6" s="1"/>
      <c r="L6" s="1"/>
      <c r="M6" s="1"/>
      <c r="N6" s="1"/>
    </row>
    <row r="7" spans="1:17" ht="6" customHeight="1">
      <c r="A7" s="348"/>
      <c r="B7" s="348"/>
      <c r="C7" s="348"/>
      <c r="D7" s="348"/>
      <c r="E7" s="348"/>
      <c r="F7" s="348"/>
      <c r="G7" s="348"/>
      <c r="H7" s="288"/>
      <c r="I7" s="288"/>
      <c r="J7" s="1"/>
      <c r="K7" s="1"/>
      <c r="L7" s="1"/>
      <c r="M7" s="1"/>
      <c r="N7" s="1"/>
    </row>
    <row r="8" spans="1:17" ht="26.25" customHeight="1">
      <c r="A8" s="293"/>
      <c r="B8" s="348"/>
      <c r="C8" s="348" t="s">
        <v>72</v>
      </c>
      <c r="D8" s="7" t="s">
        <v>437</v>
      </c>
      <c r="E8" s="343" t="s">
        <v>73</v>
      </c>
      <c r="F8" s="380" t="s">
        <v>225</v>
      </c>
      <c r="G8" s="381"/>
      <c r="H8" s="288"/>
      <c r="I8" s="288"/>
      <c r="K8" s="288"/>
      <c r="L8" s="294"/>
      <c r="M8" s="294"/>
      <c r="N8" s="1"/>
    </row>
    <row r="9" spans="1:17" ht="6" customHeight="1">
      <c r="A9" s="348"/>
      <c r="B9" s="348"/>
      <c r="C9" s="348"/>
      <c r="D9" s="348"/>
      <c r="E9" s="348"/>
      <c r="F9" s="348"/>
      <c r="G9" s="348"/>
      <c r="H9" s="288"/>
      <c r="I9" s="288"/>
      <c r="J9" s="288"/>
      <c r="K9" s="288"/>
      <c r="L9" s="288"/>
      <c r="M9" s="288"/>
      <c r="N9" s="1"/>
    </row>
    <row r="10" spans="1:17" ht="15" customHeight="1">
      <c r="A10" s="348" t="s">
        <v>74</v>
      </c>
      <c r="B10" s="286"/>
      <c r="C10" s="382" t="s">
        <v>216</v>
      </c>
      <c r="D10" s="383"/>
      <c r="E10" s="383"/>
      <c r="F10" s="383"/>
      <c r="G10" s="384"/>
      <c r="H10" s="287"/>
      <c r="I10" s="287"/>
      <c r="J10" s="287"/>
      <c r="K10" s="287"/>
      <c r="L10" s="287"/>
      <c r="M10" s="287"/>
      <c r="N10" s="1"/>
    </row>
    <row r="11" spans="1:17">
      <c r="A11" s="295"/>
      <c r="B11" s="295"/>
      <c r="C11" s="295"/>
      <c r="D11" s="295"/>
      <c r="E11" s="295"/>
      <c r="F11" s="295"/>
      <c r="G11" s="295"/>
      <c r="H11" s="1"/>
      <c r="I11" s="1"/>
      <c r="J11" s="1"/>
      <c r="K11" s="1"/>
      <c r="L11" s="1"/>
      <c r="M11" s="1"/>
      <c r="N11" s="1"/>
    </row>
    <row r="12" spans="1:17" ht="16.149999999999999" customHeight="1">
      <c r="A12" s="348"/>
      <c r="B12" s="286"/>
      <c r="C12" s="293"/>
      <c r="D12" s="286"/>
      <c r="E12" s="286"/>
      <c r="F12" s="286"/>
      <c r="G12" s="286"/>
      <c r="H12" s="287"/>
      <c r="I12" s="287"/>
      <c r="J12" s="287"/>
      <c r="K12" s="287"/>
      <c r="L12" s="287"/>
      <c r="M12" s="287"/>
      <c r="N12" s="1"/>
    </row>
    <row r="13" spans="1:17" ht="16.149999999999999" customHeight="1">
      <c r="A13" s="390" t="s">
        <v>292</v>
      </c>
      <c r="B13" s="390"/>
      <c r="C13" s="382" t="s">
        <v>294</v>
      </c>
      <c r="D13" s="391"/>
      <c r="E13" s="391"/>
      <c r="F13" s="391"/>
      <c r="G13" s="392"/>
      <c r="H13" s="287"/>
      <c r="I13" s="287"/>
      <c r="J13" s="287"/>
      <c r="K13" s="287"/>
      <c r="L13" s="287"/>
      <c r="M13" s="287"/>
      <c r="N13" s="1"/>
    </row>
    <row r="14" spans="1:17" ht="16.149999999999999" customHeight="1">
      <c r="A14" s="296"/>
      <c r="B14" s="296"/>
      <c r="C14" s="293"/>
      <c r="D14" s="286"/>
      <c r="E14" s="286"/>
      <c r="F14" s="286"/>
      <c r="G14" s="286"/>
      <c r="H14" s="287"/>
      <c r="I14" s="287"/>
      <c r="J14" s="287"/>
      <c r="K14" s="287"/>
      <c r="L14" s="287"/>
      <c r="M14" s="287"/>
      <c r="N14" s="1"/>
    </row>
    <row r="15" spans="1:17" ht="15" customHeight="1">
      <c r="A15" s="293"/>
      <c r="B15" s="286"/>
      <c r="C15" s="286"/>
      <c r="D15" s="348"/>
      <c r="E15" s="297" t="s">
        <v>2</v>
      </c>
      <c r="F15" s="297" t="s">
        <v>3</v>
      </c>
      <c r="G15" s="293"/>
      <c r="H15" s="288"/>
      <c r="I15" s="298"/>
      <c r="J15" s="288"/>
      <c r="K15" s="288"/>
      <c r="L15" s="288"/>
      <c r="M15" s="292"/>
      <c r="N15" s="1"/>
    </row>
    <row r="16" spans="1:17" ht="15" customHeight="1">
      <c r="A16" s="348" t="s">
        <v>75</v>
      </c>
      <c r="B16" s="286"/>
      <c r="C16" s="286"/>
      <c r="D16" s="286"/>
      <c r="E16" s="11">
        <v>45292</v>
      </c>
      <c r="F16" s="11">
        <v>45657</v>
      </c>
      <c r="G16" s="293"/>
      <c r="H16" s="287"/>
      <c r="I16" s="287"/>
      <c r="J16" s="287"/>
      <c r="K16" s="287"/>
      <c r="L16" s="287"/>
      <c r="M16" s="287"/>
      <c r="N16" s="1"/>
    </row>
    <row r="17" spans="1:14" ht="15" customHeight="1">
      <c r="A17" s="348" t="s">
        <v>76</v>
      </c>
      <c r="B17" s="293"/>
      <c r="C17" s="293"/>
      <c r="D17" s="293"/>
      <c r="E17" s="11">
        <v>46023</v>
      </c>
      <c r="F17" s="11">
        <v>46387</v>
      </c>
      <c r="G17" s="293"/>
      <c r="H17" s="288"/>
      <c r="J17" s="299"/>
      <c r="K17" s="1"/>
      <c r="L17" s="300"/>
      <c r="M17" s="287"/>
      <c r="N17" s="1"/>
    </row>
    <row r="18" spans="1:14" ht="16.149999999999999" customHeight="1">
      <c r="A18" s="348"/>
      <c r="B18" s="348"/>
      <c r="C18" s="348"/>
      <c r="D18" s="301"/>
      <c r="E18" s="301"/>
      <c r="F18" s="301"/>
      <c r="G18" s="348"/>
      <c r="H18" s="288"/>
      <c r="I18" s="288"/>
      <c r="J18" s="288"/>
      <c r="K18" s="288"/>
      <c r="L18" s="1"/>
      <c r="M18" s="1"/>
      <c r="N18" s="1"/>
    </row>
    <row r="19" spans="1:14" ht="15" customHeight="1">
      <c r="A19" s="293"/>
      <c r="B19" s="293"/>
      <c r="C19" s="302" t="s">
        <v>77</v>
      </c>
      <c r="D19" s="302" t="s">
        <v>6</v>
      </c>
      <c r="E19" s="302" t="s">
        <v>45</v>
      </c>
      <c r="F19" s="348"/>
      <c r="G19" s="293"/>
      <c r="H19" s="288"/>
      <c r="I19" s="288"/>
      <c r="K19" s="288"/>
      <c r="L19" s="288"/>
      <c r="M19" s="288"/>
      <c r="N19" s="1"/>
    </row>
    <row r="20" spans="1:14" ht="15" customHeight="1">
      <c r="A20" s="348" t="s">
        <v>41</v>
      </c>
      <c r="B20" s="348"/>
      <c r="C20" s="3">
        <v>6.0760000000000002E-2</v>
      </c>
      <c r="D20" s="4">
        <v>5.59</v>
      </c>
      <c r="E20" s="4">
        <v>6.97</v>
      </c>
      <c r="F20" s="303"/>
      <c r="G20" s="293"/>
      <c r="H20" s="304"/>
      <c r="I20" s="304"/>
      <c r="K20" s="288"/>
      <c r="L20" s="288"/>
      <c r="M20" s="288"/>
      <c r="N20" s="1"/>
    </row>
    <row r="21" spans="1:14" ht="15" customHeight="1">
      <c r="A21" s="348" t="s">
        <v>7</v>
      </c>
      <c r="B21" s="348"/>
      <c r="C21" s="3">
        <v>6.2890000000000001E-2</v>
      </c>
      <c r="D21" s="4">
        <v>5.79</v>
      </c>
      <c r="E21" s="4">
        <v>7.21</v>
      </c>
      <c r="F21" s="303"/>
      <c r="G21" s="293"/>
      <c r="H21" s="305"/>
      <c r="I21" s="304"/>
      <c r="K21" s="288"/>
      <c r="L21" s="288"/>
      <c r="M21" s="288"/>
      <c r="N21" s="1"/>
    </row>
    <row r="22" spans="1:14" ht="15" customHeight="1">
      <c r="A22" s="306" t="s">
        <v>356</v>
      </c>
      <c r="B22" s="307"/>
      <c r="C22" s="293"/>
      <c r="D22" s="306" t="s">
        <v>357</v>
      </c>
      <c r="E22" s="293"/>
      <c r="F22" s="293"/>
      <c r="G22" s="286"/>
      <c r="H22" s="287"/>
      <c r="I22" s="287"/>
      <c r="J22" s="287"/>
      <c r="K22" s="288"/>
      <c r="L22" s="308"/>
      <c r="M22" s="288"/>
      <c r="N22" s="1"/>
    </row>
    <row r="23" spans="1:14" ht="6" customHeight="1">
      <c r="A23" s="285"/>
      <c r="B23" s="285"/>
      <c r="C23" s="285"/>
      <c r="D23" s="285"/>
      <c r="E23" s="285"/>
      <c r="F23" s="285"/>
      <c r="G23" s="348"/>
      <c r="H23" s="288"/>
      <c r="I23" s="288"/>
      <c r="J23" s="1"/>
      <c r="K23" s="287"/>
      <c r="L23" s="287"/>
      <c r="M23" s="1"/>
      <c r="N23" s="1"/>
    </row>
    <row r="24" spans="1:14" ht="15" customHeight="1">
      <c r="A24" s="281" t="s">
        <v>78</v>
      </c>
      <c r="B24" s="282"/>
      <c r="C24" s="282"/>
      <c r="D24" s="282"/>
      <c r="E24" s="282"/>
      <c r="F24" s="309"/>
      <c r="G24" s="310" t="str">
        <f>D8</f>
        <v>460 502 542</v>
      </c>
      <c r="H24" s="283"/>
      <c r="I24" s="283"/>
      <c r="J24" s="283"/>
      <c r="K24" s="283"/>
      <c r="L24" s="283"/>
      <c r="M24" s="283"/>
    </row>
    <row r="25" spans="1:14" ht="15" customHeight="1">
      <c r="A25" s="348" t="s">
        <v>8</v>
      </c>
      <c r="B25" s="286"/>
      <c r="C25" s="286"/>
      <c r="D25" s="311"/>
      <c r="E25" s="311"/>
      <c r="F25" s="311"/>
      <c r="G25" s="312"/>
      <c r="H25" s="313"/>
      <c r="I25" s="313"/>
      <c r="J25" s="313"/>
      <c r="K25" s="287"/>
      <c r="L25" s="287"/>
      <c r="M25" s="287"/>
      <c r="N25" s="1"/>
    </row>
    <row r="26" spans="1:14" ht="15" customHeight="1">
      <c r="A26" s="314" t="s">
        <v>79</v>
      </c>
      <c r="B26" s="315"/>
      <c r="C26" s="315"/>
      <c r="D26" s="311"/>
      <c r="E26" s="311"/>
      <c r="F26" s="311"/>
      <c r="G26" s="312"/>
      <c r="H26" s="313"/>
      <c r="I26" s="313"/>
      <c r="J26" s="313"/>
      <c r="K26" s="287"/>
      <c r="L26" s="287"/>
      <c r="M26" s="287"/>
      <c r="N26" s="1"/>
    </row>
    <row r="27" spans="1:14" ht="15" customHeight="1">
      <c r="A27" s="314" t="s">
        <v>80</v>
      </c>
      <c r="B27" s="315"/>
      <c r="C27" s="315"/>
      <c r="D27" s="316"/>
      <c r="E27" s="316"/>
      <c r="F27" s="316"/>
      <c r="G27" s="317"/>
      <c r="H27" s="318"/>
      <c r="I27" s="318"/>
      <c r="J27" s="318"/>
      <c r="K27" s="288"/>
      <c r="L27" s="288"/>
      <c r="M27" s="288"/>
      <c r="N27" s="288"/>
    </row>
    <row r="28" spans="1:14" ht="6" customHeight="1">
      <c r="A28" s="315"/>
      <c r="B28" s="315"/>
      <c r="C28" s="315"/>
      <c r="D28" s="316"/>
      <c r="E28" s="316"/>
      <c r="F28" s="316"/>
      <c r="G28" s="317"/>
      <c r="H28" s="318"/>
      <c r="I28" s="318"/>
      <c r="J28" s="318"/>
      <c r="K28" s="288"/>
      <c r="L28" s="288"/>
      <c r="M28" s="288"/>
      <c r="N28" s="288"/>
    </row>
    <row r="29" spans="1:14" s="321" customFormat="1" ht="12.75" customHeight="1">
      <c r="A29" s="385" t="s">
        <v>81</v>
      </c>
      <c r="B29" s="385"/>
      <c r="C29" s="385"/>
      <c r="D29" s="385"/>
      <c r="E29" s="385"/>
      <c r="F29" s="385"/>
      <c r="G29" s="319"/>
      <c r="H29" s="320"/>
      <c r="I29" s="320"/>
      <c r="J29" s="320"/>
      <c r="K29" s="320"/>
      <c r="L29" s="320"/>
      <c r="M29" s="320"/>
    </row>
    <row r="30" spans="1:14" s="321" customFormat="1" ht="12.75" customHeight="1">
      <c r="A30" s="386">
        <v>1</v>
      </c>
      <c r="B30" s="386"/>
      <c r="C30" s="322">
        <v>2</v>
      </c>
      <c r="D30" s="322">
        <v>3</v>
      </c>
      <c r="E30" s="322">
        <v>4</v>
      </c>
      <c r="F30" s="322">
        <v>5</v>
      </c>
      <c r="G30" s="322" t="s">
        <v>9</v>
      </c>
      <c r="H30" s="320"/>
      <c r="I30" s="320"/>
      <c r="J30" s="320"/>
      <c r="K30" s="320"/>
    </row>
    <row r="31" spans="1:14" s="321" customFormat="1" ht="12.75" customHeight="1">
      <c r="A31" s="387">
        <v>5</v>
      </c>
      <c r="B31" s="388"/>
      <c r="C31" s="13">
        <v>40</v>
      </c>
      <c r="D31" s="13">
        <v>12</v>
      </c>
      <c r="E31" s="13">
        <v>10</v>
      </c>
      <c r="F31" s="13">
        <v>3</v>
      </c>
      <c r="G31" s="323">
        <f>SUM(A31:F31)</f>
        <v>70</v>
      </c>
      <c r="H31" s="324"/>
      <c r="I31" s="324"/>
      <c r="J31" s="324"/>
      <c r="K31" s="325"/>
      <c r="M31" s="326"/>
    </row>
    <row r="32" spans="1:14" ht="6" customHeight="1">
      <c r="A32" s="285"/>
      <c r="B32" s="285"/>
      <c r="C32" s="285"/>
      <c r="D32" s="285"/>
      <c r="E32" s="285"/>
      <c r="F32" s="285"/>
      <c r="G32" s="285"/>
      <c r="H32" s="295"/>
      <c r="I32" s="1"/>
      <c r="J32" s="1"/>
      <c r="K32" s="1"/>
      <c r="L32" s="1"/>
      <c r="M32" s="288"/>
      <c r="N32" s="1"/>
    </row>
    <row r="33" spans="1:14" ht="15" customHeight="1">
      <c r="A33" s="286" t="s">
        <v>82</v>
      </c>
      <c r="B33" s="286"/>
      <c r="C33" s="286"/>
      <c r="D33" s="348"/>
      <c r="E33" s="293"/>
      <c r="F33" s="348" t="s">
        <v>4</v>
      </c>
      <c r="G33" s="286"/>
      <c r="H33" s="287"/>
      <c r="I33" s="287"/>
      <c r="J33" s="287"/>
      <c r="L33" s="288"/>
      <c r="N33" s="1"/>
    </row>
    <row r="34" spans="1:14" ht="15" customHeight="1">
      <c r="A34" s="344" t="s">
        <v>10</v>
      </c>
      <c r="B34" s="345" t="s">
        <v>11</v>
      </c>
      <c r="C34" s="327"/>
      <c r="D34" s="328"/>
      <c r="E34" s="328"/>
      <c r="F34" s="329" t="s">
        <v>12</v>
      </c>
      <c r="G34" s="330"/>
      <c r="H34" s="331"/>
      <c r="I34" s="331"/>
      <c r="J34" s="331"/>
      <c r="L34" s="288"/>
      <c r="N34" s="1"/>
    </row>
    <row r="35" spans="1:14" s="321" customFormat="1" ht="12.75" customHeight="1">
      <c r="A35" s="332" t="s">
        <v>83</v>
      </c>
      <c r="B35" s="337" t="s">
        <v>13</v>
      </c>
      <c r="C35" s="337"/>
      <c r="D35" s="333"/>
      <c r="E35" s="333"/>
      <c r="F35" s="5">
        <v>1223</v>
      </c>
      <c r="G35" s="306"/>
      <c r="H35" s="324"/>
      <c r="I35" s="334"/>
      <c r="J35" s="324"/>
      <c r="K35" s="335"/>
      <c r="L35" s="324"/>
      <c r="M35" s="335"/>
    </row>
    <row r="36" spans="1:14" s="321" customFormat="1" ht="12.75" customHeight="1">
      <c r="A36" s="332" t="s">
        <v>84</v>
      </c>
      <c r="B36" s="337" t="s">
        <v>14</v>
      </c>
      <c r="C36" s="337"/>
      <c r="D36" s="333"/>
      <c r="E36" s="333"/>
      <c r="F36" s="5">
        <v>1363</v>
      </c>
      <c r="G36" s="306"/>
      <c r="H36" s="324"/>
      <c r="I36" s="334"/>
      <c r="J36" s="324"/>
      <c r="K36" s="335"/>
      <c r="L36" s="335"/>
      <c r="M36" s="335"/>
    </row>
    <row r="37" spans="1:14" s="321" customFormat="1" ht="12.75" customHeight="1">
      <c r="A37" s="332" t="s">
        <v>85</v>
      </c>
      <c r="B37" s="337" t="s">
        <v>15</v>
      </c>
      <c r="C37" s="337"/>
      <c r="D37" s="333"/>
      <c r="E37" s="333"/>
      <c r="F37" s="5">
        <v>73</v>
      </c>
      <c r="G37" s="306"/>
      <c r="H37" s="324"/>
      <c r="I37" s="334"/>
      <c r="J37" s="324"/>
      <c r="K37" s="335"/>
      <c r="L37" s="324"/>
      <c r="M37" s="335"/>
    </row>
    <row r="38" spans="1:14" s="321" customFormat="1" ht="12.75" customHeight="1">
      <c r="A38" s="332" t="s">
        <v>86</v>
      </c>
      <c r="B38" s="337" t="s">
        <v>87</v>
      </c>
      <c r="C38" s="337"/>
      <c r="D38" s="333"/>
      <c r="E38" s="333"/>
      <c r="F38" s="5">
        <v>751</v>
      </c>
      <c r="G38" s="306"/>
      <c r="H38" s="324"/>
      <c r="I38" s="334"/>
      <c r="J38" s="324"/>
      <c r="K38" s="335"/>
      <c r="L38" s="324"/>
      <c r="M38" s="335"/>
    </row>
    <row r="39" spans="1:14" s="321" customFormat="1" ht="12.75" customHeight="1">
      <c r="A39" s="332" t="s">
        <v>88</v>
      </c>
      <c r="B39" s="337" t="s">
        <v>62</v>
      </c>
      <c r="C39" s="337"/>
      <c r="D39" s="333"/>
      <c r="E39" s="333"/>
      <c r="F39" s="5">
        <v>0</v>
      </c>
      <c r="G39" s="306"/>
      <c r="H39" s="324"/>
      <c r="I39" s="334"/>
      <c r="J39" s="324"/>
      <c r="K39" s="335"/>
      <c r="L39" s="324"/>
      <c r="M39" s="335"/>
    </row>
    <row r="40" spans="1:14" s="321" customFormat="1" ht="12.75" customHeight="1">
      <c r="A40" s="332" t="s">
        <v>89</v>
      </c>
      <c r="B40" s="337" t="s">
        <v>63</v>
      </c>
      <c r="C40" s="337"/>
      <c r="D40" s="333"/>
      <c r="E40" s="333"/>
      <c r="F40" s="5">
        <v>314</v>
      </c>
      <c r="G40" s="306"/>
      <c r="H40" s="324"/>
      <c r="I40" s="334"/>
      <c r="J40" s="324"/>
      <c r="K40" s="335"/>
      <c r="L40" s="324"/>
      <c r="M40" s="335"/>
    </row>
    <row r="41" spans="1:14" s="321" customFormat="1" ht="12.75" customHeight="1">
      <c r="A41" s="332" t="s">
        <v>90</v>
      </c>
      <c r="B41" s="337" t="s">
        <v>91</v>
      </c>
      <c r="C41" s="337"/>
      <c r="D41" s="333"/>
      <c r="E41" s="333"/>
      <c r="F41" s="5">
        <v>0</v>
      </c>
      <c r="G41" s="306"/>
      <c r="H41" s="324"/>
      <c r="I41" s="334"/>
      <c r="J41" s="324"/>
      <c r="K41" s="336"/>
      <c r="L41" s="324"/>
      <c r="M41" s="335"/>
    </row>
    <row r="42" spans="1:14" s="321" customFormat="1" ht="12.75" customHeight="1">
      <c r="A42" s="332" t="s">
        <v>92</v>
      </c>
      <c r="B42" s="337" t="s">
        <v>19</v>
      </c>
      <c r="C42" s="337"/>
      <c r="D42" s="333"/>
      <c r="E42" s="333"/>
      <c r="F42" s="5">
        <v>0</v>
      </c>
      <c r="G42" s="306"/>
      <c r="H42" s="324"/>
      <c r="I42" s="334"/>
      <c r="J42" s="324"/>
      <c r="K42" s="335"/>
      <c r="L42" s="324"/>
      <c r="M42" s="335"/>
    </row>
    <row r="43" spans="1:14" s="321" customFormat="1" ht="12.75" customHeight="1">
      <c r="A43" s="332" t="s">
        <v>93</v>
      </c>
      <c r="B43" s="337" t="s">
        <v>64</v>
      </c>
      <c r="C43" s="337"/>
      <c r="D43" s="333"/>
      <c r="E43" s="333"/>
      <c r="F43" s="5">
        <v>0</v>
      </c>
      <c r="G43" s="306"/>
      <c r="H43" s="324"/>
      <c r="I43" s="334"/>
      <c r="J43" s="324"/>
      <c r="K43" s="335"/>
      <c r="L43" s="324"/>
      <c r="M43" s="335"/>
    </row>
    <row r="44" spans="1:14" s="321" customFormat="1" ht="12.75" customHeight="1">
      <c r="A44" s="332" t="s">
        <v>94</v>
      </c>
      <c r="B44" s="337" t="s">
        <v>95</v>
      </c>
      <c r="C44" s="337"/>
      <c r="D44" s="333"/>
      <c r="E44" s="333"/>
      <c r="F44" s="5">
        <v>0</v>
      </c>
      <c r="G44" s="306"/>
      <c r="H44" s="324"/>
      <c r="I44" s="334"/>
      <c r="J44" s="324"/>
      <c r="K44" s="335"/>
      <c r="L44" s="324"/>
      <c r="M44" s="335"/>
    </row>
    <row r="45" spans="1:14" s="321" customFormat="1" ht="12.75" customHeight="1">
      <c r="A45" s="332" t="s">
        <v>96</v>
      </c>
      <c r="B45" s="337" t="s">
        <v>22</v>
      </c>
      <c r="C45" s="337"/>
      <c r="D45" s="333"/>
      <c r="E45" s="333"/>
      <c r="F45" s="5">
        <v>116</v>
      </c>
      <c r="G45" s="306"/>
      <c r="H45" s="324"/>
      <c r="I45" s="334"/>
      <c r="J45" s="324"/>
      <c r="K45" s="335"/>
      <c r="L45" s="324"/>
      <c r="M45" s="335"/>
    </row>
    <row r="46" spans="1:14" s="321" customFormat="1" ht="12.75" customHeight="1">
      <c r="A46" s="332" t="s">
        <v>97</v>
      </c>
      <c r="B46" s="337" t="s">
        <v>98</v>
      </c>
      <c r="C46" s="337"/>
      <c r="D46" s="333"/>
      <c r="E46" s="333"/>
      <c r="F46" s="5">
        <v>0</v>
      </c>
      <c r="G46" s="306"/>
      <c r="H46" s="324"/>
      <c r="I46" s="334"/>
      <c r="J46" s="324"/>
      <c r="K46" s="335"/>
      <c r="L46" s="324"/>
      <c r="M46" s="335"/>
    </row>
    <row r="47" spans="1:14" s="321" customFormat="1" ht="12.75" customHeight="1">
      <c r="A47" s="332" t="s">
        <v>99</v>
      </c>
      <c r="B47" s="337" t="s">
        <v>100</v>
      </c>
      <c r="C47" s="337"/>
      <c r="D47" s="333"/>
      <c r="E47" s="333"/>
      <c r="F47" s="5">
        <v>252</v>
      </c>
      <c r="G47" s="306"/>
      <c r="H47" s="324"/>
      <c r="I47" s="334"/>
      <c r="J47" s="324"/>
      <c r="K47" s="335"/>
      <c r="L47" s="324"/>
      <c r="M47" s="335"/>
    </row>
    <row r="48" spans="1:14" s="321" customFormat="1" ht="12.75" customHeight="1">
      <c r="A48" s="332" t="s">
        <v>101</v>
      </c>
      <c r="B48" s="337" t="s">
        <v>102</v>
      </c>
      <c r="C48" s="337"/>
      <c r="D48" s="333"/>
      <c r="E48" s="333"/>
      <c r="F48" s="5">
        <v>32</v>
      </c>
      <c r="G48" s="306"/>
      <c r="H48" s="324"/>
      <c r="I48" s="334"/>
      <c r="J48" s="324"/>
      <c r="K48" s="335"/>
      <c r="L48" s="324"/>
      <c r="M48" s="335"/>
    </row>
    <row r="49" spans="1:13" s="321" customFormat="1" ht="12.75" customHeight="1">
      <c r="A49" s="332" t="s">
        <v>103</v>
      </c>
      <c r="B49" s="337" t="s">
        <v>44</v>
      </c>
      <c r="C49" s="337"/>
      <c r="D49" s="333"/>
      <c r="E49" s="333"/>
      <c r="F49" s="5">
        <v>7159</v>
      </c>
      <c r="G49" s="306"/>
      <c r="H49" s="324"/>
      <c r="I49" s="334"/>
      <c r="J49" s="324"/>
      <c r="K49" s="335"/>
      <c r="L49" s="324"/>
      <c r="M49" s="335"/>
    </row>
    <row r="50" spans="1:13" s="321" customFormat="1" ht="12.75" customHeight="1">
      <c r="A50" s="332" t="s">
        <v>104</v>
      </c>
      <c r="B50" s="337" t="s">
        <v>105</v>
      </c>
      <c r="C50" s="337"/>
      <c r="D50" s="333"/>
      <c r="E50" s="333"/>
      <c r="F50" s="5">
        <v>1586</v>
      </c>
      <c r="G50" s="306"/>
      <c r="H50" s="324"/>
      <c r="I50" s="334"/>
      <c r="J50" s="324"/>
      <c r="K50" s="335"/>
      <c r="L50" s="324"/>
      <c r="M50" s="335"/>
    </row>
    <row r="51" spans="1:13" s="321" customFormat="1" ht="12.75" customHeight="1">
      <c r="A51" s="332" t="s">
        <v>106</v>
      </c>
      <c r="B51" s="337" t="s">
        <v>28</v>
      </c>
      <c r="C51" s="337"/>
      <c r="D51" s="333"/>
      <c r="E51" s="333"/>
      <c r="F51" s="5">
        <v>0</v>
      </c>
      <c r="G51" s="306"/>
      <c r="H51" s="324"/>
      <c r="I51" s="334"/>
      <c r="J51" s="324"/>
      <c r="K51" s="335"/>
      <c r="L51" s="324"/>
      <c r="M51" s="335"/>
    </row>
    <row r="52" spans="1:13" s="321" customFormat="1" ht="12.75" customHeight="1">
      <c r="A52" s="332" t="s">
        <v>107</v>
      </c>
      <c r="B52" s="337" t="s">
        <v>108</v>
      </c>
      <c r="C52" s="337"/>
      <c r="D52" s="333"/>
      <c r="E52" s="333"/>
      <c r="F52" s="5">
        <v>0</v>
      </c>
      <c r="G52" s="306"/>
      <c r="H52" s="324"/>
      <c r="I52" s="334"/>
      <c r="J52" s="324"/>
      <c r="K52" s="335"/>
      <c r="L52" s="324"/>
      <c r="M52" s="335"/>
    </row>
    <row r="53" spans="1:13" s="321" customFormat="1" ht="12.75" customHeight="1">
      <c r="A53" s="332" t="s">
        <v>109</v>
      </c>
      <c r="B53" s="337" t="s">
        <v>200</v>
      </c>
      <c r="C53" s="337"/>
      <c r="D53" s="333"/>
      <c r="E53" s="333"/>
      <c r="F53" s="5">
        <v>343</v>
      </c>
      <c r="G53" s="306"/>
      <c r="H53" s="324"/>
      <c r="I53" s="334"/>
      <c r="J53" s="324"/>
      <c r="K53" s="335"/>
      <c r="L53" s="324"/>
      <c r="M53" s="335"/>
    </row>
    <row r="54" spans="1:13" s="321" customFormat="1" ht="12.75" customHeight="1">
      <c r="A54" s="332" t="s">
        <v>110</v>
      </c>
      <c r="B54" s="337" t="s">
        <v>111</v>
      </c>
      <c r="C54" s="337"/>
      <c r="D54" s="333"/>
      <c r="E54" s="333"/>
      <c r="F54" s="5">
        <v>15</v>
      </c>
      <c r="G54" s="306"/>
      <c r="H54" s="324"/>
      <c r="I54" s="334"/>
      <c r="J54" s="324"/>
      <c r="K54" s="335"/>
      <c r="L54" s="324"/>
      <c r="M54" s="335"/>
    </row>
    <row r="55" spans="1:13" s="321" customFormat="1" ht="12.75" customHeight="1">
      <c r="A55" s="332" t="s">
        <v>112</v>
      </c>
      <c r="B55" s="337" t="s">
        <v>46</v>
      </c>
      <c r="C55" s="337"/>
      <c r="D55" s="333"/>
      <c r="E55" s="333"/>
      <c r="F55" s="5">
        <v>827</v>
      </c>
      <c r="G55" s="306"/>
      <c r="H55" s="324"/>
      <c r="I55" s="334"/>
      <c r="J55" s="324"/>
      <c r="K55" s="335"/>
      <c r="L55" s="324"/>
      <c r="M55" s="335"/>
    </row>
    <row r="56" spans="1:13" s="321" customFormat="1" ht="12.75" customHeight="1">
      <c r="A56" s="332" t="s">
        <v>113</v>
      </c>
      <c r="B56" s="337" t="s">
        <v>114</v>
      </c>
      <c r="C56" s="337"/>
      <c r="D56" s="333"/>
      <c r="E56" s="333"/>
      <c r="F56" s="5">
        <v>0</v>
      </c>
      <c r="G56" s="306"/>
      <c r="H56" s="324"/>
      <c r="I56" s="334"/>
      <c r="J56" s="324"/>
      <c r="K56" s="335"/>
      <c r="L56" s="324"/>
      <c r="M56" s="335"/>
    </row>
    <row r="57" spans="1:13" s="321" customFormat="1" ht="12.75" customHeight="1">
      <c r="A57" s="332" t="s">
        <v>115</v>
      </c>
      <c r="B57" s="337" t="s">
        <v>47</v>
      </c>
      <c r="C57" s="337"/>
      <c r="D57" s="333"/>
      <c r="E57" s="333"/>
      <c r="F57" s="5">
        <v>679</v>
      </c>
      <c r="G57" s="306"/>
      <c r="H57" s="324"/>
      <c r="I57" s="334"/>
      <c r="J57" s="324"/>
      <c r="K57" s="335"/>
      <c r="L57" s="324"/>
      <c r="M57" s="335"/>
    </row>
    <row r="58" spans="1:13" s="321" customFormat="1" ht="12.75" customHeight="1">
      <c r="A58" s="332" t="s">
        <v>116</v>
      </c>
      <c r="B58" s="337" t="s">
        <v>117</v>
      </c>
      <c r="C58" s="337"/>
      <c r="D58" s="333"/>
      <c r="E58" s="333"/>
      <c r="F58" s="5">
        <v>109</v>
      </c>
      <c r="G58" s="306"/>
      <c r="H58" s="324"/>
      <c r="I58" s="334"/>
      <c r="J58" s="324"/>
      <c r="K58" s="335"/>
      <c r="L58" s="324"/>
      <c r="M58" s="335"/>
    </row>
    <row r="59" spans="1:13" s="321" customFormat="1" ht="12.75" customHeight="1">
      <c r="A59" s="332" t="s">
        <v>118</v>
      </c>
      <c r="B59" s="337" t="s">
        <v>119</v>
      </c>
      <c r="C59" s="337"/>
      <c r="D59" s="333"/>
      <c r="E59" s="333"/>
      <c r="F59" s="5">
        <v>781</v>
      </c>
      <c r="G59" s="306"/>
      <c r="H59" s="324"/>
      <c r="I59" s="334"/>
      <c r="J59" s="324"/>
      <c r="K59" s="335"/>
      <c r="L59" s="324"/>
      <c r="M59" s="335"/>
    </row>
    <row r="60" spans="1:13" s="321" customFormat="1" ht="12.75" customHeight="1">
      <c r="A60" s="332" t="s">
        <v>120</v>
      </c>
      <c r="B60" s="337" t="s">
        <v>121</v>
      </c>
      <c r="C60" s="337"/>
      <c r="D60" s="333"/>
      <c r="E60" s="333"/>
      <c r="F60" s="5">
        <v>0</v>
      </c>
      <c r="G60" s="306"/>
      <c r="H60" s="324"/>
      <c r="I60" s="334"/>
      <c r="J60" s="324"/>
      <c r="K60" s="335"/>
      <c r="L60" s="324"/>
      <c r="M60" s="335"/>
    </row>
    <row r="61" spans="1:13" s="321" customFormat="1" ht="12.75" customHeight="1">
      <c r="A61" s="332" t="s">
        <v>122</v>
      </c>
      <c r="B61" s="337" t="s">
        <v>123</v>
      </c>
      <c r="C61" s="337"/>
      <c r="D61" s="333"/>
      <c r="E61" s="333"/>
      <c r="F61" s="5">
        <v>1445</v>
      </c>
      <c r="G61" s="306"/>
      <c r="H61" s="324"/>
      <c r="I61" s="334"/>
      <c r="J61" s="324"/>
      <c r="K61" s="335"/>
      <c r="L61" s="324"/>
      <c r="M61" s="335"/>
    </row>
    <row r="62" spans="1:13" s="321" customFormat="1" ht="12.75" customHeight="1">
      <c r="A62" s="332" t="s">
        <v>124</v>
      </c>
      <c r="B62" s="337" t="s">
        <v>125</v>
      </c>
      <c r="C62" s="337"/>
      <c r="D62" s="333"/>
      <c r="E62" s="333"/>
      <c r="F62" s="5">
        <v>0</v>
      </c>
      <c r="G62" s="306"/>
      <c r="H62" s="324"/>
      <c r="I62" s="334"/>
      <c r="J62" s="324"/>
      <c r="K62" s="335"/>
      <c r="L62" s="324"/>
      <c r="M62" s="335"/>
    </row>
    <row r="63" spans="1:13" s="321" customFormat="1" ht="12.75" customHeight="1">
      <c r="A63" s="332" t="s">
        <v>126</v>
      </c>
      <c r="B63" s="337" t="s">
        <v>127</v>
      </c>
      <c r="C63" s="337"/>
      <c r="D63" s="333"/>
      <c r="E63" s="333"/>
      <c r="F63" s="5">
        <v>23</v>
      </c>
      <c r="G63" s="306"/>
      <c r="H63" s="324"/>
      <c r="I63" s="334"/>
      <c r="J63" s="324"/>
      <c r="K63" s="335"/>
      <c r="L63" s="324"/>
      <c r="M63" s="335"/>
    </row>
    <row r="64" spans="1:13" s="321" customFormat="1" ht="12.75" customHeight="1">
      <c r="A64" s="332" t="s">
        <v>128</v>
      </c>
      <c r="B64" s="337" t="s">
        <v>67</v>
      </c>
      <c r="C64" s="337"/>
      <c r="D64" s="333"/>
      <c r="E64" s="333"/>
      <c r="F64" s="5">
        <v>475</v>
      </c>
      <c r="G64" s="306"/>
      <c r="H64" s="324"/>
      <c r="I64" s="334"/>
      <c r="J64" s="324"/>
      <c r="K64" s="335"/>
      <c r="L64" s="324"/>
      <c r="M64" s="335"/>
    </row>
    <row r="65" spans="1:14" s="321" customFormat="1" ht="12.75" customHeight="1">
      <c r="A65" s="332" t="s">
        <v>129</v>
      </c>
      <c r="B65" s="337" t="s">
        <v>68</v>
      </c>
      <c r="C65" s="337"/>
      <c r="D65" s="333"/>
      <c r="E65" s="333"/>
      <c r="F65" s="5">
        <v>477</v>
      </c>
      <c r="G65" s="306"/>
      <c r="H65" s="324"/>
      <c r="I65" s="334"/>
      <c r="J65" s="324"/>
      <c r="K65" s="335"/>
      <c r="L65" s="324"/>
      <c r="M65" s="335"/>
    </row>
    <row r="66" spans="1:14" s="321" customFormat="1" ht="12.75" customHeight="1">
      <c r="A66" s="332" t="s">
        <v>130</v>
      </c>
      <c r="B66" s="337" t="s">
        <v>69</v>
      </c>
      <c r="C66" s="337"/>
      <c r="D66" s="333"/>
      <c r="E66" s="333"/>
      <c r="F66" s="5">
        <v>69</v>
      </c>
      <c r="G66" s="306"/>
      <c r="H66" s="324"/>
      <c r="I66" s="334"/>
      <c r="J66" s="324"/>
      <c r="K66" s="335"/>
      <c r="L66" s="324"/>
      <c r="M66" s="335"/>
    </row>
    <row r="67" spans="1:14" s="321" customFormat="1" ht="12.75" customHeight="1">
      <c r="A67" s="332" t="s">
        <v>131</v>
      </c>
      <c r="B67" s="337" t="s">
        <v>132</v>
      </c>
      <c r="C67" s="337"/>
      <c r="D67" s="333"/>
      <c r="E67" s="333"/>
      <c r="F67" s="5">
        <v>0</v>
      </c>
      <c r="G67" s="306"/>
      <c r="H67" s="324"/>
      <c r="I67" s="334"/>
      <c r="J67" s="324"/>
      <c r="K67" s="335"/>
      <c r="L67" s="324"/>
      <c r="M67" s="335"/>
    </row>
    <row r="68" spans="1:14" s="321" customFormat="1" ht="12.75" customHeight="1">
      <c r="A68" s="332" t="s">
        <v>133</v>
      </c>
      <c r="B68" s="337" t="s">
        <v>134</v>
      </c>
      <c r="C68" s="337"/>
      <c r="D68" s="333"/>
      <c r="E68" s="333"/>
      <c r="F68" s="5">
        <v>0</v>
      </c>
      <c r="G68" s="306"/>
      <c r="H68" s="324"/>
      <c r="I68" s="334"/>
      <c r="J68" s="324"/>
      <c r="K68" s="335"/>
      <c r="L68" s="324"/>
      <c r="M68" s="335"/>
    </row>
    <row r="69" spans="1:14" s="321" customFormat="1" ht="12.75" customHeight="1">
      <c r="A69" s="332" t="s">
        <v>198</v>
      </c>
      <c r="B69" s="389" t="s">
        <v>199</v>
      </c>
      <c r="C69" s="389"/>
      <c r="D69" s="389"/>
      <c r="E69" s="389"/>
      <c r="F69" s="5">
        <v>0</v>
      </c>
      <c r="G69" s="306"/>
      <c r="H69" s="324"/>
      <c r="I69" s="334"/>
      <c r="J69" s="324"/>
      <c r="K69" s="335"/>
      <c r="L69" s="324"/>
      <c r="M69" s="335"/>
    </row>
    <row r="70" spans="1:14" s="321" customFormat="1" ht="12.75" customHeight="1">
      <c r="A70" s="338"/>
      <c r="B70" s="339"/>
      <c r="C70" s="339"/>
      <c r="D70" s="339"/>
      <c r="E70" s="306"/>
      <c r="F70" s="306"/>
      <c r="G70" s="306"/>
      <c r="H70" s="324"/>
      <c r="I70" s="334"/>
      <c r="J70" s="324"/>
      <c r="K70" s="335"/>
      <c r="L70" s="324"/>
      <c r="M70" s="335"/>
    </row>
    <row r="71" spans="1:14" ht="15" customHeight="1">
      <c r="A71" s="340" t="s">
        <v>135</v>
      </c>
      <c r="B71" s="348"/>
      <c r="C71" s="348"/>
      <c r="D71" s="293"/>
      <c r="E71" s="348"/>
      <c r="F71" s="348"/>
      <c r="G71" s="2"/>
      <c r="H71" s="2"/>
      <c r="I71" s="2"/>
      <c r="J71" s="2"/>
      <c r="K71" s="336"/>
      <c r="L71" s="288"/>
      <c r="M71" s="336"/>
      <c r="N71" s="1"/>
    </row>
    <row r="72" spans="1:14" ht="15" customHeight="1">
      <c r="A72" s="293"/>
      <c r="B72" s="348"/>
      <c r="C72" s="348"/>
      <c r="D72" s="348"/>
      <c r="E72" s="348"/>
      <c r="F72" s="348"/>
      <c r="G72" s="293"/>
      <c r="H72" s="294"/>
      <c r="I72" s="294"/>
      <c r="J72" s="294"/>
      <c r="K72" s="1"/>
      <c r="L72" s="1"/>
      <c r="M72" s="1"/>
      <c r="N72" s="1"/>
    </row>
    <row r="73" spans="1:14" ht="6" customHeight="1">
      <c r="A73" s="285"/>
      <c r="B73" s="285"/>
      <c r="C73" s="285"/>
      <c r="D73" s="285"/>
      <c r="E73" s="285"/>
      <c r="F73" s="285"/>
      <c r="G73" s="285"/>
      <c r="H73" s="295"/>
      <c r="I73" s="1"/>
      <c r="J73" s="1"/>
      <c r="K73" s="1"/>
      <c r="L73" s="1"/>
      <c r="M73" s="1"/>
      <c r="N73" s="1"/>
    </row>
    <row r="74" spans="1:14" ht="15" customHeight="1">
      <c r="A74" s="341" t="s">
        <v>136</v>
      </c>
      <c r="B74" s="341"/>
      <c r="C74" s="341"/>
      <c r="D74" s="341"/>
      <c r="E74" s="341"/>
      <c r="F74" s="309" t="s">
        <v>72</v>
      </c>
      <c r="G74" s="310" t="str">
        <f>G24</f>
        <v>460 502 542</v>
      </c>
      <c r="H74" s="342"/>
      <c r="I74" s="342"/>
      <c r="J74" s="342"/>
    </row>
    <row r="75" spans="1:14" ht="15" customHeight="1">
      <c r="A75" s="348" t="s">
        <v>204</v>
      </c>
      <c r="B75" s="348"/>
      <c r="C75" s="348"/>
      <c r="D75" s="348"/>
      <c r="E75" s="348"/>
      <c r="F75" s="348"/>
      <c r="G75" s="348"/>
      <c r="H75" s="288"/>
      <c r="I75" s="288"/>
      <c r="J75" s="288"/>
      <c r="K75" s="1"/>
    </row>
    <row r="76" spans="1:14" ht="15" customHeight="1">
      <c r="A76" s="348" t="s">
        <v>137</v>
      </c>
      <c r="B76" s="348"/>
      <c r="C76" s="348"/>
      <c r="D76" s="348"/>
      <c r="E76" s="348"/>
      <c r="F76" s="348"/>
      <c r="G76" s="348"/>
      <c r="H76" s="288"/>
      <c r="I76" s="288"/>
      <c r="J76" s="288"/>
      <c r="K76" s="1"/>
    </row>
    <row r="77" spans="1:14" ht="15" customHeight="1">
      <c r="A77" s="348" t="s">
        <v>138</v>
      </c>
      <c r="B77" s="348"/>
      <c r="C77" s="348"/>
      <c r="D77" s="348"/>
      <c r="E77" s="348"/>
      <c r="F77" s="348"/>
      <c r="G77" s="348"/>
      <c r="H77" s="288"/>
      <c r="I77" s="288"/>
      <c r="J77" s="288"/>
      <c r="K77" s="1"/>
    </row>
    <row r="78" spans="1:14" ht="6" customHeight="1">
      <c r="A78" s="348"/>
      <c r="B78" s="348"/>
      <c r="C78" s="348"/>
      <c r="D78" s="348"/>
      <c r="E78" s="348"/>
      <c r="F78" s="348"/>
      <c r="G78" s="348"/>
      <c r="H78" s="288"/>
      <c r="I78" s="288"/>
      <c r="J78" s="288"/>
      <c r="K78" s="1"/>
    </row>
    <row r="79" spans="1:14" ht="26.25" customHeight="1">
      <c r="A79" s="373" t="s">
        <v>36</v>
      </c>
      <c r="B79" s="373"/>
      <c r="C79" s="373"/>
      <c r="D79" s="351" t="s">
        <v>4</v>
      </c>
      <c r="E79" s="377" t="s">
        <v>37</v>
      </c>
      <c r="F79" s="378"/>
      <c r="G79" s="379"/>
      <c r="H79" s="288"/>
      <c r="I79" s="288"/>
      <c r="K79" s="1"/>
    </row>
    <row r="80" spans="1:14" ht="51.6" customHeight="1">
      <c r="A80" s="373" t="s">
        <v>139</v>
      </c>
      <c r="B80" s="373"/>
      <c r="C80" s="373"/>
      <c r="D80" s="6">
        <v>2.2200000000000002</v>
      </c>
      <c r="E80" s="374" t="s">
        <v>140</v>
      </c>
      <c r="F80" s="375"/>
      <c r="G80" s="376"/>
      <c r="H80" s="346"/>
      <c r="I80" s="346"/>
    </row>
    <row r="81" spans="1:11" ht="39.4" customHeight="1">
      <c r="A81" s="373" t="s">
        <v>141</v>
      </c>
      <c r="B81" s="373"/>
      <c r="C81" s="373"/>
      <c r="D81" s="6">
        <v>0.16</v>
      </c>
      <c r="E81" s="374" t="s">
        <v>142</v>
      </c>
      <c r="F81" s="375"/>
      <c r="G81" s="376"/>
      <c r="H81" s="346"/>
      <c r="I81" s="346"/>
    </row>
    <row r="82" spans="1:11" ht="45" customHeight="1">
      <c r="A82" s="373" t="s">
        <v>38</v>
      </c>
      <c r="B82" s="373"/>
      <c r="C82" s="373"/>
      <c r="D82" s="6">
        <v>3.78</v>
      </c>
      <c r="E82" s="374" t="s">
        <v>143</v>
      </c>
      <c r="F82" s="375"/>
      <c r="G82" s="376"/>
      <c r="H82" s="346"/>
      <c r="I82" s="346"/>
    </row>
    <row r="83" spans="1:11" ht="30" customHeight="1">
      <c r="A83" s="373" t="s">
        <v>144</v>
      </c>
      <c r="B83" s="373"/>
      <c r="C83" s="373"/>
      <c r="D83" s="6">
        <v>0</v>
      </c>
      <c r="E83" s="374" t="s">
        <v>145</v>
      </c>
      <c r="F83" s="375"/>
      <c r="G83" s="376"/>
      <c r="H83" s="346"/>
      <c r="I83" s="346"/>
    </row>
    <row r="84" spans="1:11" ht="19.149999999999999" customHeight="1">
      <c r="A84" s="373" t="s">
        <v>146</v>
      </c>
      <c r="B84" s="373"/>
      <c r="C84" s="373"/>
      <c r="D84" s="6">
        <v>0</v>
      </c>
      <c r="E84" s="393"/>
      <c r="F84" s="394"/>
      <c r="G84" s="395"/>
      <c r="H84" s="346"/>
      <c r="I84" s="346"/>
      <c r="J84" s="288"/>
      <c r="K84" s="1"/>
    </row>
    <row r="85" spans="1:11" ht="15" customHeight="1">
      <c r="A85" s="348" t="s">
        <v>147</v>
      </c>
      <c r="B85" s="348"/>
      <c r="C85" s="348"/>
      <c r="D85" s="347">
        <f>SUM(D80:D84)</f>
        <v>6.16</v>
      </c>
      <c r="E85" s="347"/>
      <c r="F85" s="400"/>
      <c r="G85" s="400"/>
      <c r="H85" s="346"/>
      <c r="I85" s="346"/>
      <c r="J85" s="288"/>
      <c r="K85" s="1"/>
    </row>
    <row r="86" spans="1:11" ht="7.5" customHeight="1">
      <c r="A86" s="286"/>
      <c r="B86" s="286"/>
      <c r="C86" s="286"/>
      <c r="D86" s="349"/>
      <c r="E86" s="349"/>
      <c r="F86" s="400"/>
      <c r="G86" s="400"/>
      <c r="H86" s="350"/>
      <c r="I86" s="350"/>
      <c r="J86" s="287"/>
      <c r="K86" s="1"/>
    </row>
    <row r="87" spans="1:11" ht="41.45" customHeight="1">
      <c r="A87" s="401" t="s">
        <v>39</v>
      </c>
      <c r="B87" s="373"/>
      <c r="C87" s="373"/>
      <c r="D87" s="6">
        <v>0.76</v>
      </c>
      <c r="E87" s="399" t="s">
        <v>291</v>
      </c>
      <c r="F87" s="375"/>
      <c r="G87" s="376"/>
      <c r="H87" s="346"/>
      <c r="I87" s="346"/>
      <c r="J87" s="288"/>
      <c r="K87" s="1"/>
    </row>
    <row r="88" spans="1:11" ht="15" customHeight="1">
      <c r="A88" s="348" t="s">
        <v>148</v>
      </c>
      <c r="B88" s="348"/>
      <c r="C88" s="348"/>
      <c r="D88" s="347">
        <f>D87+D85</f>
        <v>6.92</v>
      </c>
      <c r="E88" s="347"/>
      <c r="F88" s="347"/>
      <c r="G88" s="285"/>
      <c r="H88" s="346"/>
      <c r="I88" s="346"/>
      <c r="J88" s="288"/>
      <c r="K88" s="1"/>
    </row>
    <row r="89" spans="1:11" ht="6" customHeight="1">
      <c r="A89" s="348"/>
      <c r="B89" s="348"/>
      <c r="C89" s="348"/>
      <c r="D89" s="348"/>
      <c r="E89" s="348"/>
      <c r="F89" s="348"/>
      <c r="G89" s="348"/>
      <c r="H89" s="288"/>
      <c r="I89" s="288"/>
      <c r="J89" s="288"/>
      <c r="K89" s="1"/>
    </row>
    <row r="90" spans="1:11" ht="18" customHeight="1">
      <c r="A90" s="373" t="s">
        <v>40</v>
      </c>
      <c r="B90" s="373"/>
      <c r="C90" s="373"/>
      <c r="D90" s="6">
        <v>2</v>
      </c>
      <c r="E90" s="374" t="s">
        <v>149</v>
      </c>
      <c r="F90" s="375"/>
      <c r="G90" s="376"/>
      <c r="H90" s="352"/>
      <c r="I90" s="352"/>
      <c r="K90" s="1"/>
    </row>
    <row r="91" spans="1:11" ht="6" customHeight="1">
      <c r="A91" s="348"/>
      <c r="B91" s="348"/>
      <c r="C91" s="348"/>
      <c r="D91" s="348"/>
      <c r="E91" s="348"/>
      <c r="F91" s="348"/>
      <c r="G91" s="348"/>
      <c r="H91" s="288"/>
      <c r="I91" s="288"/>
      <c r="J91" s="288"/>
      <c r="K91" s="1"/>
    </row>
    <row r="92" spans="1:11" ht="24.75" customHeight="1">
      <c r="A92" s="373" t="s">
        <v>150</v>
      </c>
      <c r="B92" s="373"/>
      <c r="C92" s="373"/>
      <c r="D92" s="12">
        <v>3.2099999999999997E-2</v>
      </c>
      <c r="E92" s="374" t="s">
        <v>151</v>
      </c>
      <c r="F92" s="375"/>
      <c r="G92" s="376"/>
      <c r="H92" s="353"/>
      <c r="I92" s="353"/>
      <c r="K92" s="1"/>
    </row>
    <row r="93" spans="1:11" ht="6" customHeight="1">
      <c r="A93" s="348"/>
      <c r="B93" s="348"/>
      <c r="C93" s="348"/>
      <c r="D93" s="348"/>
      <c r="E93" s="348"/>
      <c r="F93" s="348"/>
      <c r="G93" s="348"/>
      <c r="H93" s="288"/>
      <c r="I93" s="288"/>
      <c r="J93" s="288"/>
      <c r="K93" s="1"/>
    </row>
    <row r="94" spans="1:11" ht="15" customHeight="1">
      <c r="A94" s="348"/>
      <c r="B94" s="348"/>
      <c r="C94" s="348"/>
      <c r="D94" s="293"/>
      <c r="E94" s="340"/>
      <c r="F94" s="354"/>
      <c r="G94" s="354"/>
      <c r="H94" s="294"/>
      <c r="I94" s="294"/>
      <c r="J94" s="294"/>
      <c r="K94" s="1"/>
    </row>
    <row r="95" spans="1:11" ht="6" customHeight="1">
      <c r="A95" s="355"/>
      <c r="B95" s="355"/>
      <c r="C95" s="355"/>
      <c r="D95" s="355"/>
      <c r="E95" s="355"/>
      <c r="F95" s="355"/>
      <c r="G95" s="355"/>
      <c r="H95" s="356"/>
      <c r="I95" s="356"/>
      <c r="J95" s="356"/>
    </row>
    <row r="96" spans="1:11" ht="6" customHeight="1">
      <c r="B96" s="361"/>
      <c r="C96" s="361"/>
      <c r="D96" s="357"/>
      <c r="E96" s="357"/>
      <c r="F96" s="357"/>
      <c r="G96" s="357"/>
      <c r="H96" s="357"/>
      <c r="I96" s="357"/>
      <c r="J96" s="357"/>
    </row>
    <row r="97" spans="1:14" ht="16.5" customHeight="1">
      <c r="A97" s="342" t="s">
        <v>206</v>
      </c>
      <c r="B97" s="358"/>
      <c r="C97" s="358"/>
      <c r="D97" s="283"/>
      <c r="E97" s="283"/>
      <c r="G97" s="359"/>
      <c r="H97" s="283"/>
      <c r="I97" s="283"/>
      <c r="J97" s="283"/>
      <c r="K97" s="283"/>
      <c r="L97" s="283"/>
      <c r="M97" s="283"/>
      <c r="N97" s="283"/>
    </row>
    <row r="98" spans="1:14" ht="6" customHeight="1">
      <c r="A98" s="288"/>
      <c r="B98" s="288"/>
      <c r="C98" s="288"/>
      <c r="D98" s="288"/>
      <c r="E98" s="288"/>
      <c r="F98" s="288"/>
      <c r="G98" s="288"/>
      <c r="H98" s="288"/>
      <c r="I98" s="288"/>
      <c r="J98" s="288"/>
      <c r="K98" s="288"/>
      <c r="L98" s="288"/>
      <c r="M98" s="288"/>
    </row>
    <row r="99" spans="1:14" ht="15" customHeight="1">
      <c r="A99" s="298" t="s">
        <v>352</v>
      </c>
      <c r="B99" s="288"/>
      <c r="C99" s="288"/>
      <c r="D99" s="360"/>
      <c r="E99" s="360"/>
      <c r="F99" s="360"/>
      <c r="G99" s="360"/>
      <c r="H99" s="360"/>
      <c r="I99" s="360"/>
      <c r="J99" s="360"/>
      <c r="K99" s="360"/>
      <c r="L99" s="360"/>
      <c r="M99" s="360"/>
    </row>
    <row r="100" spans="1:14" ht="15" customHeight="1">
      <c r="A100" s="382" t="s">
        <v>203</v>
      </c>
      <c r="B100" s="391"/>
      <c r="C100" s="391"/>
      <c r="D100" s="391"/>
      <c r="E100" s="391"/>
      <c r="F100" s="391"/>
      <c r="G100" s="392"/>
      <c r="H100" s="288"/>
      <c r="I100" s="298"/>
      <c r="J100" s="288"/>
      <c r="K100" s="288"/>
      <c r="L100" s="288"/>
      <c r="M100" s="288"/>
    </row>
    <row r="101" spans="1:14" ht="18" customHeight="1">
      <c r="A101" s="288"/>
      <c r="B101" s="288"/>
      <c r="C101" s="288"/>
      <c r="D101" s="288"/>
      <c r="E101" s="288"/>
      <c r="F101" s="288"/>
      <c r="G101" s="288"/>
      <c r="H101" s="288"/>
      <c r="I101" s="288"/>
      <c r="J101" s="288"/>
      <c r="K101" s="288"/>
      <c r="L101" s="288"/>
      <c r="M101" s="288"/>
      <c r="N101" s="288"/>
    </row>
    <row r="102" spans="1:14" ht="19.149999999999999" customHeight="1">
      <c r="A102" s="396" t="s">
        <v>203</v>
      </c>
      <c r="B102" s="397"/>
      <c r="C102" s="398"/>
      <c r="D102" s="298" t="s">
        <v>351</v>
      </c>
      <c r="E102" s="288"/>
      <c r="F102" s="288"/>
      <c r="G102" s="288"/>
      <c r="H102" s="288"/>
      <c r="I102" s="288"/>
      <c r="J102" s="288"/>
      <c r="K102" s="288"/>
      <c r="L102" s="288"/>
      <c r="M102" s="288"/>
      <c r="N102" s="288"/>
    </row>
    <row r="103" spans="1:14">
      <c r="A103" s="295"/>
      <c r="B103" s="295"/>
      <c r="C103" s="295"/>
      <c r="D103" s="295"/>
      <c r="E103" s="295"/>
      <c r="F103" s="295"/>
      <c r="G103" s="295"/>
      <c r="H103" s="1"/>
      <c r="I103" s="1"/>
      <c r="J103" s="1"/>
      <c r="K103" s="1"/>
      <c r="L103" s="1"/>
      <c r="M103" s="1"/>
      <c r="N103" s="1"/>
    </row>
    <row r="104" spans="1:14" ht="13.5" customHeight="1">
      <c r="A104" s="298" t="s">
        <v>205</v>
      </c>
      <c r="B104" s="288"/>
      <c r="C104" s="288"/>
      <c r="D104" s="403">
        <v>39</v>
      </c>
      <c r="E104" s="404"/>
      <c r="F104" s="288"/>
      <c r="G104" s="288"/>
      <c r="H104" s="298"/>
      <c r="I104" s="288"/>
      <c r="J104" s="288"/>
      <c r="K104" s="288"/>
      <c r="L104" s="288"/>
      <c r="M104" s="288"/>
      <c r="N104" s="288"/>
    </row>
    <row r="105" spans="1:14" ht="13.5" customHeight="1">
      <c r="A105" s="298"/>
      <c r="B105" s="288"/>
      <c r="C105" s="288"/>
      <c r="D105" s="288"/>
      <c r="E105" s="288"/>
      <c r="F105" s="288"/>
      <c r="G105" s="288"/>
      <c r="H105" s="298"/>
      <c r="I105" s="288"/>
      <c r="J105" s="288"/>
      <c r="K105" s="288"/>
      <c r="L105" s="288"/>
      <c r="M105" s="288"/>
      <c r="N105" s="288"/>
    </row>
    <row r="106" spans="1:14" ht="13.5" customHeight="1">
      <c r="A106" s="298"/>
      <c r="B106" s="288"/>
      <c r="C106" s="288"/>
      <c r="D106" s="288"/>
      <c r="E106" s="288"/>
      <c r="F106" s="288"/>
      <c r="G106" s="288"/>
      <c r="H106" s="298"/>
      <c r="I106" s="288"/>
      <c r="J106" s="288"/>
      <c r="K106" s="288"/>
      <c r="L106" s="288"/>
      <c r="M106" s="288"/>
      <c r="N106" s="288"/>
    </row>
    <row r="107" spans="1:14" ht="14.65" customHeight="1">
      <c r="A107" s="342" t="s">
        <v>362</v>
      </c>
      <c r="B107" s="358"/>
      <c r="C107" s="358"/>
      <c r="D107" s="283"/>
      <c r="E107" s="283"/>
      <c r="F107" s="359"/>
      <c r="G107" s="295"/>
      <c r="H107" s="295"/>
      <c r="I107" s="1"/>
      <c r="J107" s="1"/>
      <c r="K107" s="1"/>
      <c r="L107" s="1"/>
      <c r="M107" s="1"/>
      <c r="N107" s="1"/>
    </row>
    <row r="108" spans="1:14" ht="15" customHeight="1">
      <c r="A108" s="288"/>
      <c r="B108" s="288"/>
      <c r="C108" s="288"/>
      <c r="D108" s="288"/>
      <c r="E108" s="288"/>
      <c r="F108" s="288"/>
      <c r="G108" s="288"/>
      <c r="H108" s="288"/>
      <c r="I108" s="288"/>
      <c r="J108" s="288"/>
      <c r="K108" s="1"/>
      <c r="L108" s="1"/>
      <c r="M108" s="1"/>
      <c r="N108" s="1"/>
    </row>
    <row r="109" spans="1:14" ht="11.25" customHeight="1">
      <c r="A109" s="288" t="s">
        <v>370</v>
      </c>
      <c r="B109" s="288"/>
      <c r="C109" s="288"/>
      <c r="D109" s="288"/>
      <c r="E109" s="288"/>
      <c r="F109" s="288"/>
      <c r="G109" s="288"/>
      <c r="H109" s="288"/>
      <c r="I109" s="288"/>
      <c r="J109" s="288"/>
      <c r="K109" s="1"/>
      <c r="L109" s="1"/>
      <c r="M109" s="1"/>
      <c r="N109" s="1"/>
    </row>
    <row r="110" spans="1:14">
      <c r="A110" s="288" t="s">
        <v>371</v>
      </c>
      <c r="B110" s="288"/>
      <c r="C110" s="288"/>
      <c r="D110" s="288"/>
      <c r="E110" s="288"/>
      <c r="F110" s="288"/>
      <c r="G110" s="288"/>
      <c r="H110" s="288"/>
      <c r="I110" s="288"/>
      <c r="J110" s="288"/>
      <c r="K110" s="1"/>
      <c r="L110" s="1"/>
      <c r="M110" s="1"/>
      <c r="N110" s="1"/>
    </row>
    <row r="111" spans="1:14" ht="15" customHeight="1">
      <c r="A111" s="331"/>
      <c r="B111" s="331"/>
      <c r="C111" s="331"/>
      <c r="D111" s="288"/>
      <c r="E111" s="288"/>
      <c r="F111" s="288"/>
      <c r="G111" s="288"/>
      <c r="H111" s="288"/>
      <c r="I111" s="288"/>
      <c r="J111" s="288"/>
      <c r="K111" s="1"/>
      <c r="L111" s="1"/>
      <c r="M111" s="1"/>
      <c r="N111" s="1"/>
    </row>
    <row r="112" spans="1:14" ht="15" customHeight="1">
      <c r="A112" s="402" t="s">
        <v>363</v>
      </c>
      <c r="B112" s="402"/>
      <c r="C112" s="173" t="s">
        <v>438</v>
      </c>
      <c r="D112" s="361" t="s">
        <v>364</v>
      </c>
      <c r="E112" s="173" t="s">
        <v>438</v>
      </c>
      <c r="G112" s="288"/>
      <c r="H112" s="288"/>
      <c r="I112" s="288"/>
      <c r="J112" s="288"/>
      <c r="K112" s="1"/>
      <c r="L112" s="1"/>
      <c r="M112" s="1"/>
      <c r="N112" s="1"/>
    </row>
    <row r="113" spans="1:16" ht="15" customHeight="1">
      <c r="A113" s="402" t="s">
        <v>365</v>
      </c>
      <c r="B113" s="402"/>
      <c r="C113" s="173"/>
      <c r="D113" s="361" t="s">
        <v>366</v>
      </c>
      <c r="E113" s="173"/>
      <c r="F113" s="357"/>
      <c r="G113" s="288"/>
      <c r="H113" s="288"/>
      <c r="I113" s="288"/>
      <c r="J113" s="288"/>
      <c r="K113" s="1"/>
      <c r="L113" s="1"/>
      <c r="M113" s="1"/>
      <c r="N113" s="1"/>
    </row>
    <row r="114" spans="1:16" ht="15" customHeight="1">
      <c r="A114" s="402" t="s">
        <v>367</v>
      </c>
      <c r="B114" s="402"/>
      <c r="C114" s="173"/>
      <c r="D114" s="361" t="s">
        <v>368</v>
      </c>
      <c r="E114" s="173" t="s">
        <v>438</v>
      </c>
      <c r="F114" s="357"/>
      <c r="G114" s="288"/>
      <c r="H114" s="288"/>
      <c r="I114" s="288"/>
      <c r="J114" s="288"/>
      <c r="K114" s="288"/>
      <c r="L114" s="288"/>
      <c r="M114" s="288"/>
      <c r="N114" s="288"/>
      <c r="O114" s="361"/>
      <c r="P114" s="361"/>
    </row>
    <row r="115" spans="1:16" ht="15" customHeight="1">
      <c r="B115" s="361"/>
      <c r="C115" s="361"/>
      <c r="D115" s="361" t="s">
        <v>369</v>
      </c>
      <c r="E115" s="173"/>
      <c r="F115" s="357"/>
      <c r="G115" s="288"/>
      <c r="H115" s="288"/>
      <c r="I115" s="288"/>
      <c r="J115" s="288"/>
      <c r="K115" s="288"/>
      <c r="L115" s="288"/>
      <c r="M115" s="288"/>
      <c r="N115" s="288"/>
      <c r="O115" s="361"/>
      <c r="P115" s="361"/>
    </row>
    <row r="116" spans="1:16" ht="15" customHeight="1">
      <c r="A116" s="295"/>
      <c r="B116" s="295"/>
      <c r="C116" s="295"/>
      <c r="D116" s="295"/>
      <c r="E116" s="295"/>
      <c r="F116" s="295"/>
      <c r="G116" s="288"/>
      <c r="H116" s="288"/>
      <c r="I116" s="288"/>
      <c r="J116" s="288"/>
      <c r="K116" s="288"/>
      <c r="L116" s="288"/>
      <c r="M116" s="288"/>
      <c r="N116" s="288"/>
      <c r="O116" s="361"/>
      <c r="P116" s="361"/>
    </row>
    <row r="117" spans="1:16" ht="15" customHeight="1">
      <c r="A117" s="273" t="s">
        <v>152</v>
      </c>
      <c r="B117" s="14"/>
      <c r="C117" s="14" t="s">
        <v>439</v>
      </c>
      <c r="D117" s="14"/>
      <c r="E117" s="15"/>
      <c r="F117" s="288"/>
      <c r="G117" s="295"/>
      <c r="H117" s="1"/>
      <c r="I117" s="1"/>
      <c r="J117" s="1"/>
      <c r="K117" s="288"/>
      <c r="L117" s="288"/>
      <c r="M117" s="288"/>
      <c r="N117" s="288"/>
      <c r="O117" s="361"/>
      <c r="P117" s="361"/>
    </row>
    <row r="118" spans="1:16" ht="15" customHeight="1">
      <c r="A118" s="274"/>
      <c r="B118" s="272"/>
      <c r="C118" s="272"/>
      <c r="D118" s="272"/>
      <c r="E118" s="275"/>
      <c r="F118" s="288"/>
      <c r="G118" s="295"/>
      <c r="H118" s="1"/>
      <c r="I118" s="1"/>
      <c r="J118" s="1"/>
      <c r="K118" s="1"/>
      <c r="L118" s="1"/>
      <c r="M118" s="1"/>
      <c r="N118" s="1"/>
    </row>
    <row r="119" spans="1:16" ht="15" customHeight="1">
      <c r="A119" s="274" t="s">
        <v>153</v>
      </c>
      <c r="B119" s="272"/>
      <c r="C119" s="272"/>
      <c r="D119" s="272"/>
      <c r="E119" s="275"/>
      <c r="F119" s="288"/>
      <c r="G119" s="295"/>
      <c r="H119" s="1"/>
      <c r="I119" s="1"/>
      <c r="J119" s="1"/>
      <c r="K119" s="1"/>
      <c r="L119" s="1"/>
      <c r="M119" s="1"/>
      <c r="N119" s="1"/>
    </row>
    <row r="120" spans="1:16">
      <c r="A120" s="276"/>
      <c r="B120" s="272"/>
      <c r="C120" s="272"/>
      <c r="D120" s="272"/>
      <c r="E120" s="275"/>
      <c r="F120" s="288"/>
      <c r="G120" s="295"/>
      <c r="H120" s="1"/>
      <c r="I120" s="1"/>
      <c r="J120" s="1"/>
      <c r="K120" s="1"/>
      <c r="L120" s="1"/>
      <c r="M120" s="1"/>
      <c r="N120" s="1"/>
    </row>
    <row r="121" spans="1:16">
      <c r="A121" s="274"/>
      <c r="B121" s="272"/>
      <c r="C121" s="272"/>
      <c r="D121" s="272"/>
      <c r="E121" s="275"/>
      <c r="F121" s="288"/>
      <c r="G121" s="295"/>
      <c r="H121" s="1"/>
      <c r="I121" s="1"/>
      <c r="J121" s="1"/>
      <c r="K121" s="1"/>
      <c r="L121" s="1"/>
      <c r="M121" s="1"/>
      <c r="N121" s="1"/>
    </row>
    <row r="122" spans="1:16">
      <c r="A122" s="274"/>
      <c r="B122" s="272"/>
      <c r="C122" s="272"/>
      <c r="D122" s="272"/>
      <c r="E122" s="275"/>
      <c r="F122" s="288"/>
      <c r="G122" s="295"/>
      <c r="H122" s="1"/>
      <c r="I122" s="1"/>
      <c r="J122" s="1"/>
      <c r="K122" s="1"/>
      <c r="L122" s="1"/>
      <c r="M122" s="1"/>
      <c r="N122" s="1"/>
    </row>
    <row r="123" spans="1:16">
      <c r="A123" s="274"/>
      <c r="B123" s="272"/>
      <c r="C123" s="272"/>
      <c r="D123" s="272"/>
      <c r="E123" s="275"/>
      <c r="F123" s="288"/>
      <c r="G123" s="295"/>
      <c r="H123" s="1"/>
      <c r="I123" s="1"/>
      <c r="J123" s="1"/>
      <c r="K123" s="1"/>
      <c r="L123" s="1"/>
      <c r="M123" s="1"/>
      <c r="N123" s="1"/>
    </row>
    <row r="124" spans="1:16">
      <c r="A124" s="277"/>
      <c r="B124" s="278"/>
      <c r="C124" s="278"/>
      <c r="D124" s="272"/>
      <c r="E124" s="275"/>
      <c r="F124" s="288"/>
      <c r="G124" s="1"/>
      <c r="H124" s="1"/>
      <c r="I124" s="1"/>
      <c r="J124" s="1"/>
      <c r="K124" s="1"/>
      <c r="L124" s="1"/>
      <c r="M124" s="1"/>
      <c r="N124" s="1"/>
    </row>
    <row r="125" spans="1:16">
      <c r="A125" s="279" t="s">
        <v>154</v>
      </c>
      <c r="B125" s="278"/>
      <c r="C125" s="278"/>
      <c r="D125" s="278"/>
      <c r="E125" s="280"/>
      <c r="F125" s="288"/>
    </row>
    <row r="126" spans="1:16">
      <c r="A126" s="295"/>
      <c r="B126" s="295"/>
      <c r="C126" s="295"/>
      <c r="D126" s="295"/>
      <c r="E126" s="295"/>
      <c r="F126" s="295"/>
    </row>
    <row r="127" spans="1:16">
      <c r="A127" s="295"/>
      <c r="B127" s="295"/>
      <c r="C127" s="295"/>
      <c r="D127" s="295"/>
      <c r="E127" s="295"/>
      <c r="F127" s="295"/>
    </row>
    <row r="128" spans="1:16">
      <c r="A128" s="295"/>
      <c r="B128" s="295"/>
      <c r="C128" s="295"/>
      <c r="D128" s="295"/>
      <c r="E128" s="295"/>
      <c r="F128" s="295"/>
    </row>
    <row r="129" spans="1:6">
      <c r="A129" s="295"/>
      <c r="B129" s="295"/>
      <c r="C129" s="295"/>
      <c r="D129" s="295"/>
      <c r="E129" s="295"/>
      <c r="F129" s="295"/>
    </row>
    <row r="130" spans="1:6">
      <c r="A130" s="295"/>
      <c r="B130" s="295"/>
      <c r="C130" s="295"/>
      <c r="D130" s="295"/>
      <c r="E130" s="295"/>
      <c r="F130" s="295"/>
    </row>
    <row r="131" spans="1:6">
      <c r="A131" s="295"/>
      <c r="B131" s="295"/>
      <c r="C131" s="295"/>
      <c r="D131" s="295"/>
      <c r="E131" s="295"/>
      <c r="F131" s="295"/>
    </row>
    <row r="132" spans="1:6">
      <c r="A132" s="295"/>
      <c r="B132" s="295"/>
      <c r="C132" s="295"/>
      <c r="D132" s="295"/>
      <c r="E132" s="295"/>
      <c r="F132" s="295"/>
    </row>
    <row r="133" spans="1:6">
      <c r="A133" s="1"/>
      <c r="B133" s="1"/>
      <c r="C133" s="1"/>
      <c r="D133" s="1"/>
      <c r="E133" s="1"/>
      <c r="F133" s="1"/>
    </row>
  </sheetData>
  <sheetProtection sheet="1" scenarios="1"/>
  <mergeCells count="43">
    <mergeCell ref="A112:B112"/>
    <mergeCell ref="A113:B113"/>
    <mergeCell ref="A114:B114"/>
    <mergeCell ref="D104:E104"/>
    <mergeCell ref="F85:G85"/>
    <mergeCell ref="E84:G84"/>
    <mergeCell ref="E83:G83"/>
    <mergeCell ref="A102:C102"/>
    <mergeCell ref="E82:G82"/>
    <mergeCell ref="E81:G81"/>
    <mergeCell ref="A100:G100"/>
    <mergeCell ref="E92:G92"/>
    <mergeCell ref="E90:G90"/>
    <mergeCell ref="E87:G87"/>
    <mergeCell ref="F86:G86"/>
    <mergeCell ref="A92:C92"/>
    <mergeCell ref="A82:C82"/>
    <mergeCell ref="A83:C83"/>
    <mergeCell ref="A84:C84"/>
    <mergeCell ref="A87:C87"/>
    <mergeCell ref="A90:C90"/>
    <mergeCell ref="A81:C81"/>
    <mergeCell ref="E80:G80"/>
    <mergeCell ref="E79:G79"/>
    <mergeCell ref="F8:G8"/>
    <mergeCell ref="A79:C79"/>
    <mergeCell ref="A80:C80"/>
    <mergeCell ref="C10:G10"/>
    <mergeCell ref="A29:F29"/>
    <mergeCell ref="A30:B30"/>
    <mergeCell ref="A31:B31"/>
    <mergeCell ref="B69:E69"/>
    <mergeCell ref="A13:B13"/>
    <mergeCell ref="C13:G13"/>
    <mergeCell ref="C6:D6"/>
    <mergeCell ref="F6:G6"/>
    <mergeCell ref="A6:B6"/>
    <mergeCell ref="A3:D3"/>
    <mergeCell ref="E3:G3"/>
    <mergeCell ref="A4:D4"/>
    <mergeCell ref="A5:D5"/>
    <mergeCell ref="E4:G4"/>
    <mergeCell ref="E5:G5"/>
  </mergeCells>
  <conditionalFormatting sqref="D21">
    <cfRule type="expression" dxfId="10" priority="1">
      <formula>$AC$81=1</formula>
    </cfRule>
    <cfRule type="expression" dxfId="9" priority="2" stopIfTrue="1">
      <formula>$X$89&gt;0</formula>
    </cfRule>
    <cfRule type="expression" dxfId="8" priority="3">
      <formula>$V$22=2</formula>
    </cfRule>
  </conditionalFormatting>
  <dataValidations count="1">
    <dataValidation type="list" allowBlank="1" showInputMessage="1" showErrorMessage="1" sqref="D107:D115 E107:E111" xr:uid="{C08B3F4C-7A4C-4963-9BC5-35E50A1F0BBD}">
      <formula1>$AD$2:$AD$25</formula1>
    </dataValidation>
  </dataValidations>
  <pageMargins left="0.7" right="0.7" top="0.78740157499999996" bottom="0.78740157499999996" header="0.3" footer="0.3"/>
  <pageSetup paperSize="9" scale="82" fitToHeight="2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060A6BF-6253-4E4C-BCC4-4A275C33F3D6}">
          <x14:formula1>
            <xm:f>DropDown!$G$2:$G$4</xm:f>
          </x14:formula1>
          <xm:sqref>A102</xm:sqref>
        </x14:dataValidation>
        <x14:dataValidation type="list" allowBlank="1" showInputMessage="1" showErrorMessage="1" xr:uid="{8AF4D865-32DF-4233-8D71-11B2FA5A9738}">
          <x14:formula1>
            <xm:f>DropDown!$I$2:$I$14</xm:f>
          </x14:formula1>
          <xm:sqref>C10:G10</xm:sqref>
        </x14:dataValidation>
        <x14:dataValidation type="list" allowBlank="1" showInputMessage="1" showErrorMessage="1" xr:uid="{EF674133-0906-4ADF-94F7-985BADD4AF11}">
          <x14:formula1>
            <xm:f>DropDown!$O$2:$O$3</xm:f>
          </x14:formula1>
          <xm:sqref>C13:G13</xm:sqref>
        </x14:dataValidation>
        <x14:dataValidation type="list" allowBlank="1" showInputMessage="1" showErrorMessage="1" xr:uid="{7A73574E-0F61-43C2-8F30-567CAC2C6D39}">
          <x14:formula1>
            <xm:f>DropDown!$A$2:$A$54</xm:f>
          </x14:formula1>
          <xm:sqref>F8:G8</xm:sqref>
        </x14:dataValidation>
        <x14:dataValidation type="list" allowBlank="1" showInputMessage="1" showErrorMessage="1" xr:uid="{32A1DAD2-BE19-4BE6-ACA1-575E8298E43B}">
          <x14:formula1>
            <xm:f>DropDown!$R$2:$R$26</xm:f>
          </x14:formula1>
          <xm:sqref>D104:E104</xm:sqref>
        </x14:dataValidation>
        <x14:dataValidation type="list" allowBlank="1" showInputMessage="1" showErrorMessage="1" promptTitle="AVR Caritas" xr:uid="{FF555CAC-31DB-4C4C-8F9A-69D7277B4343}">
          <x14:formula1>
            <xm:f>DropDown!$E$2:$E$14</xm:f>
          </x14:formula1>
          <xm:sqref>A100:G100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tabColor rgb="FFC9FFC9"/>
  </sheetPr>
  <dimension ref="B1:AF144"/>
  <sheetViews>
    <sheetView topLeftCell="D21" zoomScaleNormal="100" workbookViewId="0">
      <selection activeCell="W12" sqref="W12"/>
    </sheetView>
  </sheetViews>
  <sheetFormatPr baseColWidth="10" defaultColWidth="11.42578125" defaultRowHeight="12.75"/>
  <cols>
    <col min="1" max="1" width="5" style="19" customWidth="1"/>
    <col min="2" max="2" width="14" style="19" customWidth="1"/>
    <col min="3" max="3" width="11.42578125" style="19"/>
    <col min="4" max="4" width="21.7109375" style="19" customWidth="1"/>
    <col min="5" max="5" width="13.85546875" style="19" customWidth="1"/>
    <col min="6" max="6" width="11.42578125" style="19"/>
    <col min="7" max="7" width="14.5703125" style="19" customWidth="1"/>
    <col min="8" max="8" width="11.42578125" style="19"/>
    <col min="9" max="9" width="12.7109375" style="19" customWidth="1"/>
    <col min="10" max="10" width="10.7109375" style="19" customWidth="1"/>
    <col min="11" max="11" width="7.7109375" style="19" customWidth="1"/>
    <col min="12" max="12" width="21.28515625" style="19" customWidth="1"/>
    <col min="13" max="13" width="11.42578125" style="19"/>
    <col min="14" max="14" width="19.85546875" style="19" customWidth="1"/>
    <col min="15" max="15" width="15" style="19" customWidth="1"/>
    <col min="16" max="16" width="9.7109375" style="19" customWidth="1"/>
    <col min="17" max="17" width="11.42578125" style="19"/>
    <col min="18" max="18" width="14" style="19" customWidth="1"/>
    <col min="19" max="19" width="7.28515625" style="19" customWidth="1"/>
    <col min="20" max="20" width="11.42578125" style="19"/>
    <col min="21" max="21" width="14" style="19" customWidth="1"/>
    <col min="22" max="22" width="5.42578125" style="19" customWidth="1"/>
    <col min="23" max="23" width="11.42578125" style="19"/>
    <col min="24" max="24" width="14.85546875" style="19" customWidth="1"/>
    <col min="25" max="25" width="16.42578125" style="19" customWidth="1"/>
    <col min="26" max="16384" width="11.42578125" style="19"/>
  </cols>
  <sheetData>
    <row r="1" spans="2:32">
      <c r="B1" s="16" t="s">
        <v>155</v>
      </c>
      <c r="C1" s="16"/>
      <c r="D1" s="17"/>
      <c r="E1" s="17"/>
      <c r="F1" s="17"/>
      <c r="G1" s="17"/>
      <c r="H1" s="17"/>
      <c r="I1" s="17"/>
      <c r="J1" s="17"/>
      <c r="K1" s="18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 spans="2:32" ht="6.6" hidden="1" customHeight="1">
      <c r="K2" s="21"/>
      <c r="L2" s="22" t="s">
        <v>157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2:32" ht="3.6" hidden="1" customHeight="1">
      <c r="B3" s="23" t="s">
        <v>158</v>
      </c>
      <c r="C3" s="23"/>
      <c r="D3" s="23"/>
      <c r="K3" s="21"/>
      <c r="L3" s="24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2:32">
      <c r="B4" s="25" t="s">
        <v>42</v>
      </c>
      <c r="C4" s="26">
        <f>Dateneingabe!C20</f>
        <v>6.0760000000000002E-2</v>
      </c>
      <c r="D4" s="23" t="s">
        <v>159</v>
      </c>
      <c r="H4" s="20"/>
      <c r="I4" s="20"/>
      <c r="L4" s="23"/>
      <c r="M4" s="20"/>
      <c r="N4" s="20"/>
      <c r="O4" s="20"/>
      <c r="P4" s="20"/>
      <c r="Q4" s="27"/>
      <c r="R4" s="20"/>
      <c r="S4" s="20"/>
      <c r="T4" s="28"/>
      <c r="U4" s="20"/>
      <c r="V4" s="29"/>
      <c r="W4" s="20"/>
      <c r="X4" s="20"/>
      <c r="Y4" s="29"/>
      <c r="Z4" s="20"/>
      <c r="AA4" s="20"/>
      <c r="AB4" s="20"/>
      <c r="AC4" s="20"/>
      <c r="AD4" s="20"/>
      <c r="AE4" s="20"/>
      <c r="AF4" s="20"/>
    </row>
    <row r="5" spans="2:32">
      <c r="B5" s="25" t="s">
        <v>160</v>
      </c>
      <c r="C5" s="30">
        <f>Dateneingabe!D20</f>
        <v>5.59</v>
      </c>
      <c r="D5" s="23"/>
      <c r="H5" s="20"/>
      <c r="I5" s="20"/>
      <c r="K5" s="31"/>
      <c r="L5" s="32"/>
      <c r="M5" s="20"/>
      <c r="N5" s="33"/>
      <c r="O5" s="20"/>
      <c r="P5" s="20"/>
      <c r="Q5" s="34"/>
      <c r="R5" s="20"/>
      <c r="S5" s="20"/>
      <c r="T5" s="33"/>
      <c r="U5" s="20"/>
      <c r="V5" s="29"/>
      <c r="W5" s="20"/>
      <c r="X5" s="20"/>
      <c r="Y5" s="29"/>
      <c r="Z5" s="20"/>
      <c r="AA5" s="20"/>
      <c r="AB5" s="20"/>
      <c r="AC5" s="20"/>
      <c r="AD5" s="20"/>
      <c r="AE5" s="20"/>
      <c r="AF5" s="20"/>
    </row>
    <row r="6" spans="2:32">
      <c r="B6" s="25" t="s">
        <v>161</v>
      </c>
      <c r="C6" s="30">
        <f>Dateneingabe!E20</f>
        <v>6.97</v>
      </c>
      <c r="D6" s="23"/>
      <c r="L6" s="23"/>
      <c r="M6" s="20"/>
      <c r="N6" s="33"/>
      <c r="O6" s="20"/>
      <c r="P6" s="20"/>
      <c r="Q6" s="34"/>
      <c r="R6" s="20"/>
      <c r="S6" s="20"/>
      <c r="T6" s="33"/>
      <c r="U6" s="20"/>
      <c r="V6" s="29"/>
      <c r="W6" s="20"/>
      <c r="X6" s="20"/>
      <c r="Y6" s="29"/>
      <c r="Z6" s="20"/>
      <c r="AA6" s="20"/>
      <c r="AB6" s="20"/>
      <c r="AC6" s="20"/>
      <c r="AD6" s="20"/>
      <c r="AE6" s="20"/>
      <c r="AF6" s="20"/>
    </row>
    <row r="7" spans="2:32">
      <c r="B7" s="23"/>
      <c r="C7" s="23"/>
      <c r="D7" s="23"/>
      <c r="L7" s="23"/>
      <c r="M7" s="20"/>
      <c r="N7" s="20"/>
      <c r="O7" s="20"/>
      <c r="P7" s="20"/>
      <c r="Q7" s="20"/>
      <c r="R7" s="20"/>
      <c r="S7" s="20"/>
      <c r="T7" s="20"/>
      <c r="U7" s="20"/>
      <c r="V7" s="29"/>
      <c r="W7" s="20"/>
      <c r="X7" s="35"/>
      <c r="Y7" s="35"/>
      <c r="Z7" s="20"/>
      <c r="AA7" s="20"/>
      <c r="AB7" s="20"/>
      <c r="AC7" s="20"/>
      <c r="AD7" s="20"/>
      <c r="AE7" s="20"/>
      <c r="AF7" s="20"/>
    </row>
    <row r="8" spans="2:32">
      <c r="L8" s="23"/>
      <c r="M8" s="20"/>
      <c r="N8" s="20"/>
      <c r="O8" s="20"/>
      <c r="P8" s="20"/>
      <c r="Q8" s="20"/>
      <c r="R8" s="20"/>
      <c r="S8" s="20"/>
      <c r="T8" s="20"/>
      <c r="U8" s="20"/>
      <c r="V8" s="29"/>
      <c r="W8" s="20"/>
      <c r="X8" s="35"/>
      <c r="Y8" s="35"/>
      <c r="Z8" s="20"/>
      <c r="AA8" s="20"/>
      <c r="AB8" s="20"/>
      <c r="AC8" s="20"/>
      <c r="AD8" s="20"/>
      <c r="AE8" s="20"/>
      <c r="AF8" s="20"/>
    </row>
    <row r="9" spans="2:32" ht="23.45" customHeight="1">
      <c r="L9" s="23"/>
      <c r="M9" s="20"/>
      <c r="N9" s="20"/>
      <c r="O9" s="20"/>
      <c r="P9" s="20"/>
      <c r="Q9" s="20"/>
      <c r="R9" s="20"/>
      <c r="S9" s="20"/>
      <c r="T9" s="20"/>
      <c r="U9" s="20"/>
      <c r="V9" s="29"/>
      <c r="W9" s="20"/>
      <c r="X9" s="35"/>
      <c r="Y9" s="35"/>
      <c r="Z9" s="20"/>
      <c r="AA9" s="20"/>
      <c r="AB9" s="20"/>
      <c r="AC9" s="20"/>
      <c r="AD9" s="20"/>
      <c r="AE9" s="20"/>
      <c r="AF9" s="20"/>
    </row>
    <row r="10" spans="2:32">
      <c r="L10" s="23"/>
      <c r="M10" s="20"/>
      <c r="N10" s="20"/>
      <c r="O10" s="20" t="s">
        <v>162</v>
      </c>
      <c r="P10" s="20"/>
      <c r="Q10" s="20" t="s">
        <v>163</v>
      </c>
      <c r="R10" s="20" t="s">
        <v>162</v>
      </c>
      <c r="S10" s="20"/>
      <c r="T10" s="20" t="s">
        <v>163</v>
      </c>
      <c r="U10" s="20" t="s">
        <v>162</v>
      </c>
      <c r="V10" s="29"/>
      <c r="W10" s="20" t="s">
        <v>163</v>
      </c>
      <c r="X10" s="20" t="s">
        <v>162</v>
      </c>
      <c r="Y10" s="35"/>
      <c r="Z10" s="20"/>
      <c r="AA10" s="20"/>
      <c r="AB10" s="20"/>
      <c r="AC10" s="20"/>
      <c r="AD10" s="20"/>
      <c r="AE10" s="20"/>
      <c r="AF10" s="20"/>
    </row>
    <row r="11" spans="2:32">
      <c r="B11" s="17" t="s">
        <v>164</v>
      </c>
      <c r="C11" s="36">
        <f>Dateneingabe!E16</f>
        <v>45292</v>
      </c>
      <c r="D11" s="17" t="s">
        <v>165</v>
      </c>
      <c r="E11" s="36">
        <f>Dateneingabe!F16</f>
        <v>45657</v>
      </c>
      <c r="F11" s="17"/>
      <c r="G11" s="36" t="s">
        <v>166</v>
      </c>
      <c r="H11" s="17" t="s">
        <v>167</v>
      </c>
      <c r="I11" s="17"/>
      <c r="L11" s="23"/>
      <c r="M11" s="20" t="s">
        <v>168</v>
      </c>
      <c r="N11" s="20"/>
      <c r="O11" s="20" t="s">
        <v>169</v>
      </c>
      <c r="P11" s="20"/>
      <c r="Q11" s="20" t="s">
        <v>156</v>
      </c>
      <c r="R11" s="20"/>
      <c r="S11" s="20"/>
      <c r="T11" s="20" t="s">
        <v>7</v>
      </c>
      <c r="U11" s="20"/>
      <c r="V11" s="20"/>
      <c r="W11" s="20" t="s">
        <v>358</v>
      </c>
      <c r="X11" s="20"/>
      <c r="Y11" s="20"/>
      <c r="Z11" s="20"/>
      <c r="AA11" s="20"/>
      <c r="AB11" s="20"/>
      <c r="AC11" s="20"/>
      <c r="AD11" s="20"/>
      <c r="AE11" s="20"/>
      <c r="AF11" s="20"/>
    </row>
    <row r="12" spans="2:32" s="45" customFormat="1" ht="11.25" customHeight="1">
      <c r="B12" s="37">
        <v>1</v>
      </c>
      <c r="C12" s="38" t="s">
        <v>13</v>
      </c>
      <c r="D12" s="39"/>
      <c r="E12" s="40"/>
      <c r="F12" s="41">
        <v>426</v>
      </c>
      <c r="G12" s="41">
        <f>Dateneingabe!F35</f>
        <v>1223</v>
      </c>
      <c r="H12" s="42">
        <f t="shared" ref="H12:H25" si="0">ROUND(C$4*F12,2)</f>
        <v>25.88</v>
      </c>
      <c r="I12" s="43"/>
      <c r="J12" s="44"/>
      <c r="L12" s="46"/>
      <c r="M12" s="47">
        <f t="shared" ref="M12:M25" si="1">F12*G12</f>
        <v>520998</v>
      </c>
      <c r="N12" s="48"/>
      <c r="O12" s="48">
        <f>ROUND(G12*H12,2)</f>
        <v>31651.24</v>
      </c>
      <c r="Q12" s="48">
        <f>IF($F$55="",0,ROUND($F$55*F12,2))</f>
        <v>26.79</v>
      </c>
      <c r="R12" s="44">
        <f t="shared" ref="R12:R46" si="2">Q12*G12</f>
        <v>32764.17</v>
      </c>
      <c r="T12" s="48">
        <f>ROUND($H$55*F12,2)</f>
        <v>26.79</v>
      </c>
      <c r="U12" s="48">
        <f t="shared" ref="U12:U46" si="3">T12*G12</f>
        <v>32764.17</v>
      </c>
      <c r="W12" s="48">
        <f t="shared" ref="W12:W25" si="4">ROUND($L$55*F12,2)</f>
        <v>0</v>
      </c>
      <c r="X12" s="48">
        <f t="shared" ref="X12:X46" si="5">W12*G12</f>
        <v>0</v>
      </c>
    </row>
    <row r="13" spans="2:32" s="45" customFormat="1" ht="11.25" customHeight="1">
      <c r="B13" s="37">
        <v>2</v>
      </c>
      <c r="C13" s="38" t="s">
        <v>14</v>
      </c>
      <c r="D13" s="39"/>
      <c r="E13" s="40"/>
      <c r="F13" s="41">
        <v>228</v>
      </c>
      <c r="G13" s="41">
        <f>Dateneingabe!F36</f>
        <v>1363</v>
      </c>
      <c r="H13" s="42">
        <f t="shared" si="0"/>
        <v>13.85</v>
      </c>
      <c r="I13" s="43"/>
      <c r="J13" s="44"/>
      <c r="L13" s="46"/>
      <c r="M13" s="47">
        <f t="shared" si="1"/>
        <v>310764</v>
      </c>
      <c r="N13" s="48"/>
      <c r="O13" s="48">
        <f t="shared" ref="O13:O25" si="6">ROUND(G13*H13,2)</f>
        <v>18877.55</v>
      </c>
      <c r="Q13" s="48">
        <f t="shared" ref="Q13:Q43" si="7">IF($F$55="",0,ROUND($F$55*F13,2))</f>
        <v>14.34</v>
      </c>
      <c r="R13" s="44">
        <f t="shared" si="2"/>
        <v>19545.419999999998</v>
      </c>
      <c r="T13" s="48">
        <f t="shared" ref="T13:T25" si="8">ROUND($H$55*F13,2)</f>
        <v>14.34</v>
      </c>
      <c r="U13" s="48">
        <f t="shared" si="3"/>
        <v>19545.419999999998</v>
      </c>
      <c r="V13" s="20"/>
      <c r="W13" s="48">
        <f t="shared" si="4"/>
        <v>0</v>
      </c>
      <c r="X13" s="48">
        <f t="shared" si="5"/>
        <v>0</v>
      </c>
    </row>
    <row r="14" spans="2:32" s="45" customFormat="1" ht="11.25" customHeight="1">
      <c r="B14" s="37">
        <v>3</v>
      </c>
      <c r="C14" s="38" t="s">
        <v>15</v>
      </c>
      <c r="D14" s="39"/>
      <c r="E14" s="40"/>
      <c r="F14" s="41">
        <v>104</v>
      </c>
      <c r="G14" s="41">
        <f>Dateneingabe!F37</f>
        <v>73</v>
      </c>
      <c r="H14" s="42">
        <f t="shared" si="0"/>
        <v>6.32</v>
      </c>
      <c r="I14" s="43"/>
      <c r="J14" s="44"/>
      <c r="L14" s="46"/>
      <c r="M14" s="47">
        <f t="shared" si="1"/>
        <v>7592</v>
      </c>
      <c r="N14" s="48"/>
      <c r="O14" s="48">
        <f t="shared" si="6"/>
        <v>461.36</v>
      </c>
      <c r="Q14" s="48">
        <f t="shared" si="7"/>
        <v>6.54</v>
      </c>
      <c r="R14" s="44">
        <f t="shared" si="2"/>
        <v>477.42</v>
      </c>
      <c r="T14" s="48">
        <f t="shared" si="8"/>
        <v>6.54</v>
      </c>
      <c r="U14" s="48">
        <f t="shared" si="3"/>
        <v>477.42</v>
      </c>
      <c r="V14" s="49"/>
      <c r="W14" s="48">
        <f t="shared" si="4"/>
        <v>0</v>
      </c>
      <c r="X14" s="48">
        <f t="shared" si="5"/>
        <v>0</v>
      </c>
    </row>
    <row r="15" spans="2:32" s="45" customFormat="1" ht="11.25" customHeight="1">
      <c r="B15" s="37">
        <v>4</v>
      </c>
      <c r="C15" s="38" t="s">
        <v>16</v>
      </c>
      <c r="D15" s="39"/>
      <c r="E15" s="40"/>
      <c r="F15" s="41">
        <v>104</v>
      </c>
      <c r="G15" s="41">
        <f>Dateneingabe!F38</f>
        <v>751</v>
      </c>
      <c r="H15" s="42">
        <f t="shared" si="0"/>
        <v>6.32</v>
      </c>
      <c r="I15" s="43"/>
      <c r="J15" s="44"/>
      <c r="L15" s="46"/>
      <c r="M15" s="47">
        <f t="shared" si="1"/>
        <v>78104</v>
      </c>
      <c r="N15" s="48"/>
      <c r="O15" s="48">
        <f t="shared" si="6"/>
        <v>4746.32</v>
      </c>
      <c r="Q15" s="48">
        <f t="shared" si="7"/>
        <v>6.54</v>
      </c>
      <c r="R15" s="44">
        <f t="shared" si="2"/>
        <v>4911.54</v>
      </c>
      <c r="T15" s="48">
        <f t="shared" si="8"/>
        <v>6.54</v>
      </c>
      <c r="U15" s="48">
        <f t="shared" si="3"/>
        <v>4911.54</v>
      </c>
      <c r="V15" s="49"/>
      <c r="W15" s="48">
        <f t="shared" si="4"/>
        <v>0</v>
      </c>
      <c r="X15" s="48">
        <f t="shared" si="5"/>
        <v>0</v>
      </c>
    </row>
    <row r="16" spans="2:32" s="45" customFormat="1" ht="11.25" customHeight="1">
      <c r="B16" s="37">
        <v>5</v>
      </c>
      <c r="C16" s="38" t="s">
        <v>17</v>
      </c>
      <c r="D16" s="39"/>
      <c r="E16" s="40"/>
      <c r="F16" s="41">
        <v>260</v>
      </c>
      <c r="G16" s="41">
        <f>Dateneingabe!F39</f>
        <v>0</v>
      </c>
      <c r="H16" s="42">
        <f t="shared" si="0"/>
        <v>15.8</v>
      </c>
      <c r="I16" s="43"/>
      <c r="J16" s="44"/>
      <c r="L16" s="46"/>
      <c r="M16" s="47">
        <f t="shared" si="1"/>
        <v>0</v>
      </c>
      <c r="N16" s="48"/>
      <c r="O16" s="48">
        <f t="shared" si="6"/>
        <v>0</v>
      </c>
      <c r="Q16" s="48">
        <f t="shared" si="7"/>
        <v>16.350000000000001</v>
      </c>
      <c r="R16" s="44">
        <f t="shared" si="2"/>
        <v>0</v>
      </c>
      <c r="T16" s="48">
        <f t="shared" si="8"/>
        <v>16.350000000000001</v>
      </c>
      <c r="U16" s="48">
        <f t="shared" si="3"/>
        <v>0</v>
      </c>
      <c r="W16" s="48">
        <f t="shared" si="4"/>
        <v>0</v>
      </c>
      <c r="X16" s="48">
        <f t="shared" si="5"/>
        <v>0</v>
      </c>
    </row>
    <row r="17" spans="2:24" s="45" customFormat="1" ht="11.25" customHeight="1">
      <c r="B17" s="37">
        <v>6</v>
      </c>
      <c r="C17" s="38" t="s">
        <v>18</v>
      </c>
      <c r="D17" s="39"/>
      <c r="E17" s="40"/>
      <c r="F17" s="41">
        <v>104</v>
      </c>
      <c r="G17" s="41">
        <f>Dateneingabe!F40</f>
        <v>314</v>
      </c>
      <c r="H17" s="42">
        <f t="shared" si="0"/>
        <v>6.32</v>
      </c>
      <c r="I17" s="43"/>
      <c r="J17" s="44"/>
      <c r="L17" s="46"/>
      <c r="M17" s="47">
        <f t="shared" si="1"/>
        <v>32656</v>
      </c>
      <c r="N17" s="48"/>
      <c r="O17" s="48">
        <f t="shared" si="6"/>
        <v>1984.48</v>
      </c>
      <c r="Q17" s="48">
        <f t="shared" si="7"/>
        <v>6.54</v>
      </c>
      <c r="R17" s="44">
        <f t="shared" si="2"/>
        <v>2053.56</v>
      </c>
      <c r="T17" s="48">
        <f t="shared" si="8"/>
        <v>6.54</v>
      </c>
      <c r="U17" s="48">
        <f t="shared" si="3"/>
        <v>2053.56</v>
      </c>
      <c r="W17" s="48">
        <f t="shared" si="4"/>
        <v>0</v>
      </c>
      <c r="X17" s="48">
        <f t="shared" si="5"/>
        <v>0</v>
      </c>
    </row>
    <row r="18" spans="2:24" s="45" customFormat="1" ht="11.25" customHeight="1">
      <c r="B18" s="37">
        <v>7</v>
      </c>
      <c r="C18" s="38" t="s">
        <v>91</v>
      </c>
      <c r="D18" s="39"/>
      <c r="E18" s="40"/>
      <c r="F18" s="41">
        <v>104</v>
      </c>
      <c r="G18" s="41">
        <f>Dateneingabe!F41</f>
        <v>0</v>
      </c>
      <c r="H18" s="42">
        <f t="shared" si="0"/>
        <v>6.32</v>
      </c>
      <c r="I18" s="43"/>
      <c r="J18" s="44"/>
      <c r="L18" s="46"/>
      <c r="M18" s="47">
        <f t="shared" si="1"/>
        <v>0</v>
      </c>
      <c r="N18" s="48"/>
      <c r="O18" s="48">
        <f t="shared" si="6"/>
        <v>0</v>
      </c>
      <c r="Q18" s="48">
        <f t="shared" si="7"/>
        <v>6.54</v>
      </c>
      <c r="R18" s="44">
        <f t="shared" si="2"/>
        <v>0</v>
      </c>
      <c r="T18" s="48">
        <f t="shared" si="8"/>
        <v>6.54</v>
      </c>
      <c r="U18" s="48">
        <f t="shared" si="3"/>
        <v>0</v>
      </c>
      <c r="W18" s="48">
        <f t="shared" si="4"/>
        <v>0</v>
      </c>
      <c r="X18" s="48">
        <f t="shared" si="5"/>
        <v>0</v>
      </c>
    </row>
    <row r="19" spans="2:24" s="45" customFormat="1" ht="11.25" customHeight="1">
      <c r="B19" s="37">
        <v>8</v>
      </c>
      <c r="C19" s="38" t="s">
        <v>19</v>
      </c>
      <c r="D19" s="39"/>
      <c r="E19" s="40"/>
      <c r="F19" s="41">
        <v>187</v>
      </c>
      <c r="G19" s="41">
        <f>Dateneingabe!F42</f>
        <v>0</v>
      </c>
      <c r="H19" s="42">
        <f t="shared" si="0"/>
        <v>11.36</v>
      </c>
      <c r="I19" s="43"/>
      <c r="J19" s="44"/>
      <c r="L19" s="46"/>
      <c r="M19" s="47">
        <f t="shared" si="1"/>
        <v>0</v>
      </c>
      <c r="N19" s="48"/>
      <c r="O19" s="48">
        <f t="shared" si="6"/>
        <v>0</v>
      </c>
      <c r="Q19" s="48">
        <f t="shared" si="7"/>
        <v>11.76</v>
      </c>
      <c r="R19" s="44">
        <f t="shared" si="2"/>
        <v>0</v>
      </c>
      <c r="T19" s="48">
        <f t="shared" si="8"/>
        <v>11.76</v>
      </c>
      <c r="U19" s="48">
        <f t="shared" si="3"/>
        <v>0</v>
      </c>
      <c r="W19" s="48">
        <f t="shared" si="4"/>
        <v>0</v>
      </c>
      <c r="X19" s="48">
        <f t="shared" si="5"/>
        <v>0</v>
      </c>
    </row>
    <row r="20" spans="2:24" s="45" customFormat="1" ht="11.25" customHeight="1">
      <c r="B20" s="37">
        <v>9</v>
      </c>
      <c r="C20" s="38" t="s">
        <v>20</v>
      </c>
      <c r="D20" s="39"/>
      <c r="E20" s="40"/>
      <c r="F20" s="41">
        <v>360</v>
      </c>
      <c r="G20" s="41">
        <f>Dateneingabe!F43</f>
        <v>0</v>
      </c>
      <c r="H20" s="42">
        <f t="shared" si="0"/>
        <v>21.87</v>
      </c>
      <c r="I20" s="43"/>
      <c r="J20" s="44"/>
      <c r="L20" s="46"/>
      <c r="M20" s="47">
        <f t="shared" si="1"/>
        <v>0</v>
      </c>
      <c r="N20" s="48"/>
      <c r="O20" s="48">
        <f t="shared" si="6"/>
        <v>0</v>
      </c>
      <c r="Q20" s="48">
        <f t="shared" si="7"/>
        <v>22.64</v>
      </c>
      <c r="R20" s="44">
        <f t="shared" si="2"/>
        <v>0</v>
      </c>
      <c r="T20" s="48">
        <f t="shared" si="8"/>
        <v>22.64</v>
      </c>
      <c r="U20" s="48">
        <f t="shared" si="3"/>
        <v>0</v>
      </c>
      <c r="W20" s="48">
        <f t="shared" si="4"/>
        <v>0</v>
      </c>
      <c r="X20" s="48">
        <f t="shared" si="5"/>
        <v>0</v>
      </c>
    </row>
    <row r="21" spans="2:24" s="45" customFormat="1" ht="11.25" customHeight="1">
      <c r="B21" s="37">
        <v>10</v>
      </c>
      <c r="C21" s="38" t="s">
        <v>21</v>
      </c>
      <c r="D21" s="39"/>
      <c r="E21" s="40"/>
      <c r="F21" s="41">
        <v>60</v>
      </c>
      <c r="G21" s="41">
        <f>Dateneingabe!F44</f>
        <v>0</v>
      </c>
      <c r="H21" s="42">
        <f t="shared" si="0"/>
        <v>3.65</v>
      </c>
      <c r="I21" s="43"/>
      <c r="J21" s="44"/>
      <c r="L21" s="46"/>
      <c r="M21" s="47">
        <f t="shared" si="1"/>
        <v>0</v>
      </c>
      <c r="N21" s="48"/>
      <c r="O21" s="48">
        <f t="shared" si="6"/>
        <v>0</v>
      </c>
      <c r="Q21" s="48">
        <f t="shared" si="7"/>
        <v>3.77</v>
      </c>
      <c r="R21" s="44">
        <f t="shared" si="2"/>
        <v>0</v>
      </c>
      <c r="T21" s="48">
        <f t="shared" si="8"/>
        <v>3.77</v>
      </c>
      <c r="U21" s="48">
        <f t="shared" si="3"/>
        <v>0</v>
      </c>
      <c r="W21" s="48">
        <f t="shared" si="4"/>
        <v>0</v>
      </c>
      <c r="X21" s="48">
        <f t="shared" si="5"/>
        <v>0</v>
      </c>
    </row>
    <row r="22" spans="2:24" s="45" customFormat="1" ht="11.25" customHeight="1">
      <c r="B22" s="37">
        <v>11</v>
      </c>
      <c r="C22" s="38" t="s">
        <v>22</v>
      </c>
      <c r="D22" s="39"/>
      <c r="E22" s="40"/>
      <c r="F22" s="41">
        <v>150</v>
      </c>
      <c r="G22" s="41">
        <f>Dateneingabe!F45</f>
        <v>116</v>
      </c>
      <c r="H22" s="42">
        <f t="shared" si="0"/>
        <v>9.11</v>
      </c>
      <c r="I22" s="43"/>
      <c r="J22" s="44"/>
      <c r="L22" s="46"/>
      <c r="M22" s="47">
        <f t="shared" si="1"/>
        <v>17400</v>
      </c>
      <c r="N22" s="48"/>
      <c r="O22" s="48">
        <f t="shared" si="6"/>
        <v>1056.76</v>
      </c>
      <c r="Q22" s="48">
        <f t="shared" si="7"/>
        <v>9.43</v>
      </c>
      <c r="R22" s="44">
        <f t="shared" si="2"/>
        <v>1093.8799999999999</v>
      </c>
      <c r="T22" s="48">
        <f t="shared" si="8"/>
        <v>9.43</v>
      </c>
      <c r="U22" s="48">
        <f t="shared" si="3"/>
        <v>1093.8799999999999</v>
      </c>
      <c r="W22" s="48">
        <f t="shared" si="4"/>
        <v>0</v>
      </c>
      <c r="X22" s="48">
        <f t="shared" si="5"/>
        <v>0</v>
      </c>
    </row>
    <row r="23" spans="2:24" s="45" customFormat="1" ht="11.25" customHeight="1">
      <c r="B23" s="37">
        <v>12</v>
      </c>
      <c r="C23" s="38" t="s">
        <v>23</v>
      </c>
      <c r="D23" s="39"/>
      <c r="E23" s="40"/>
      <c r="F23" s="41">
        <v>150</v>
      </c>
      <c r="G23" s="41">
        <f>Dateneingabe!F46</f>
        <v>0</v>
      </c>
      <c r="H23" s="42">
        <f t="shared" si="0"/>
        <v>9.11</v>
      </c>
      <c r="I23" s="43"/>
      <c r="J23" s="44"/>
      <c r="L23" s="46"/>
      <c r="M23" s="47">
        <f t="shared" si="1"/>
        <v>0</v>
      </c>
      <c r="N23" s="48"/>
      <c r="O23" s="48">
        <f t="shared" si="6"/>
        <v>0</v>
      </c>
      <c r="Q23" s="48">
        <f t="shared" si="7"/>
        <v>9.43</v>
      </c>
      <c r="R23" s="44">
        <f t="shared" si="2"/>
        <v>0</v>
      </c>
      <c r="T23" s="48">
        <f t="shared" si="8"/>
        <v>9.43</v>
      </c>
      <c r="U23" s="48">
        <f t="shared" si="3"/>
        <v>0</v>
      </c>
      <c r="W23" s="48">
        <f t="shared" si="4"/>
        <v>0</v>
      </c>
      <c r="X23" s="48">
        <f t="shared" si="5"/>
        <v>0</v>
      </c>
    </row>
    <row r="24" spans="2:24" s="45" customFormat="1" ht="11.25" customHeight="1">
      <c r="B24" s="37">
        <v>13</v>
      </c>
      <c r="C24" s="38" t="s">
        <v>24</v>
      </c>
      <c r="D24" s="39"/>
      <c r="E24" s="40"/>
      <c r="F24" s="41">
        <v>540</v>
      </c>
      <c r="G24" s="41">
        <f>Dateneingabe!F47</f>
        <v>252</v>
      </c>
      <c r="H24" s="42">
        <f t="shared" si="0"/>
        <v>32.81</v>
      </c>
      <c r="I24" s="43"/>
      <c r="J24" s="44"/>
      <c r="L24" s="46"/>
      <c r="M24" s="47">
        <f t="shared" si="1"/>
        <v>136080</v>
      </c>
      <c r="N24" s="48"/>
      <c r="O24" s="48">
        <f t="shared" si="6"/>
        <v>8268.1200000000008</v>
      </c>
      <c r="Q24" s="48">
        <f t="shared" si="7"/>
        <v>33.96</v>
      </c>
      <c r="R24" s="44">
        <f t="shared" si="2"/>
        <v>8557.92</v>
      </c>
      <c r="T24" s="48">
        <f t="shared" si="8"/>
        <v>33.96</v>
      </c>
      <c r="U24" s="48">
        <f t="shared" si="3"/>
        <v>8557.92</v>
      </c>
      <c r="W24" s="48">
        <f t="shared" si="4"/>
        <v>0</v>
      </c>
      <c r="X24" s="48">
        <f t="shared" si="5"/>
        <v>0</v>
      </c>
    </row>
    <row r="25" spans="2:24" s="45" customFormat="1" ht="11.25" customHeight="1">
      <c r="B25" s="37">
        <v>14</v>
      </c>
      <c r="C25" s="38" t="s">
        <v>25</v>
      </c>
      <c r="D25" s="39"/>
      <c r="E25" s="40"/>
      <c r="F25" s="41">
        <v>360</v>
      </c>
      <c r="G25" s="41">
        <f>Dateneingabe!F48</f>
        <v>32</v>
      </c>
      <c r="H25" s="42">
        <f t="shared" si="0"/>
        <v>21.87</v>
      </c>
      <c r="I25" s="43"/>
      <c r="J25" s="44"/>
      <c r="L25" s="46"/>
      <c r="M25" s="47">
        <f t="shared" si="1"/>
        <v>11520</v>
      </c>
      <c r="N25" s="48"/>
      <c r="O25" s="48">
        <f t="shared" si="6"/>
        <v>699.84</v>
      </c>
      <c r="Q25" s="48">
        <f t="shared" si="7"/>
        <v>22.64</v>
      </c>
      <c r="R25" s="44">
        <f t="shared" si="2"/>
        <v>724.48</v>
      </c>
      <c r="T25" s="48">
        <f t="shared" si="8"/>
        <v>22.64</v>
      </c>
      <c r="U25" s="48">
        <f t="shared" si="3"/>
        <v>724.48</v>
      </c>
      <c r="W25" s="48">
        <f t="shared" si="4"/>
        <v>0</v>
      </c>
      <c r="X25" s="48">
        <f t="shared" si="5"/>
        <v>0</v>
      </c>
    </row>
    <row r="26" spans="2:24" s="45" customFormat="1" ht="11.25" customHeight="1">
      <c r="B26" s="37">
        <v>15</v>
      </c>
      <c r="C26" s="38" t="s">
        <v>26</v>
      </c>
      <c r="D26" s="39"/>
      <c r="E26" s="40"/>
      <c r="F26" s="50"/>
      <c r="G26" s="41">
        <f>Dateneingabe!F49</f>
        <v>7159</v>
      </c>
      <c r="H26" s="42">
        <f>C5</f>
        <v>5.59</v>
      </c>
      <c r="I26" s="43"/>
      <c r="J26" s="44"/>
      <c r="L26" s="46"/>
      <c r="M26" s="47"/>
      <c r="N26" s="47">
        <f>IF(C4=0,0,ROUND(C5/C4,0)*G26)</f>
        <v>658628</v>
      </c>
      <c r="O26" s="48">
        <f t="shared" ref="O26:O46" si="9">G26*H26</f>
        <v>40018.81</v>
      </c>
      <c r="Q26" s="48">
        <f>F56</f>
        <v>5.79</v>
      </c>
      <c r="R26" s="44">
        <f>Q26*G26</f>
        <v>41450.61</v>
      </c>
      <c r="T26" s="48">
        <f>H56</f>
        <v>5.79</v>
      </c>
      <c r="U26" s="48">
        <f t="shared" si="3"/>
        <v>41450.61</v>
      </c>
      <c r="W26" s="48">
        <f>L56</f>
        <v>0</v>
      </c>
      <c r="X26" s="48">
        <f t="shared" si="5"/>
        <v>0</v>
      </c>
    </row>
    <row r="27" spans="2:24" s="45" customFormat="1" ht="11.25" customHeight="1">
      <c r="B27" s="51" t="s">
        <v>70</v>
      </c>
      <c r="C27" s="38" t="s">
        <v>27</v>
      </c>
      <c r="D27" s="39"/>
      <c r="E27" s="40"/>
      <c r="F27" s="52"/>
      <c r="G27" s="41">
        <f>Dateneingabe!F50</f>
        <v>1586</v>
      </c>
      <c r="H27" s="42">
        <f>C6</f>
        <v>6.97</v>
      </c>
      <c r="I27" s="43"/>
      <c r="J27" s="44"/>
      <c r="L27" s="46"/>
      <c r="M27" s="47"/>
      <c r="N27" s="47">
        <f>IF(C4=0,0,ROUND(C6/C4,0)*G27)</f>
        <v>182390</v>
      </c>
      <c r="O27" s="48">
        <f t="shared" si="9"/>
        <v>11054.42</v>
      </c>
      <c r="Q27" s="48">
        <f>F57</f>
        <v>7.21</v>
      </c>
      <c r="R27" s="44">
        <f t="shared" si="2"/>
        <v>11435.06</v>
      </c>
      <c r="T27" s="48">
        <f>H57</f>
        <v>7.21</v>
      </c>
      <c r="U27" s="48">
        <f t="shared" si="3"/>
        <v>11435.06</v>
      </c>
      <c r="W27" s="48">
        <f>L57</f>
        <v>0</v>
      </c>
      <c r="X27" s="48">
        <f t="shared" si="5"/>
        <v>0</v>
      </c>
    </row>
    <row r="28" spans="2:24" s="45" customFormat="1" ht="11.25" customHeight="1">
      <c r="B28" s="37">
        <v>16</v>
      </c>
      <c r="C28" s="38" t="s">
        <v>28</v>
      </c>
      <c r="D28" s="39"/>
      <c r="E28" s="40"/>
      <c r="F28" s="53">
        <v>1600</v>
      </c>
      <c r="G28" s="41">
        <f>Dateneingabe!F51</f>
        <v>0</v>
      </c>
      <c r="H28" s="42">
        <f>ROUND(C$4*F28,2)</f>
        <v>97.22</v>
      </c>
      <c r="I28" s="43"/>
      <c r="J28" s="44"/>
      <c r="L28" s="46"/>
      <c r="M28" s="47">
        <f>F28*G28</f>
        <v>0</v>
      </c>
      <c r="N28" s="48"/>
      <c r="O28" s="48">
        <f t="shared" si="9"/>
        <v>0</v>
      </c>
      <c r="Q28" s="48">
        <f t="shared" si="7"/>
        <v>100.62</v>
      </c>
      <c r="R28" s="44">
        <f t="shared" si="2"/>
        <v>0</v>
      </c>
      <c r="T28" s="48">
        <f t="shared" ref="T28:T43" si="10">ROUND($H$55*F28,2)</f>
        <v>100.62</v>
      </c>
      <c r="U28" s="48">
        <f t="shared" si="3"/>
        <v>0</v>
      </c>
      <c r="W28" s="48">
        <f t="shared" ref="W28:W43" si="11">ROUND($L$55*F28,2)</f>
        <v>0</v>
      </c>
      <c r="X28" s="48">
        <f t="shared" si="5"/>
        <v>0</v>
      </c>
    </row>
    <row r="29" spans="2:24" s="45" customFormat="1" ht="11.25" customHeight="1">
      <c r="B29" s="51" t="s">
        <v>170</v>
      </c>
      <c r="C29" s="38" t="s">
        <v>108</v>
      </c>
      <c r="D29" s="39"/>
      <c r="E29" s="40"/>
      <c r="F29" s="53">
        <v>900</v>
      </c>
      <c r="G29" s="41">
        <f>Dateneingabe!F52</f>
        <v>0</v>
      </c>
      <c r="H29" s="42">
        <f>ROUND(C$4*F29,2)</f>
        <v>54.68</v>
      </c>
      <c r="I29" s="43"/>
      <c r="J29" s="44"/>
      <c r="L29" s="46"/>
      <c r="M29" s="47">
        <f>F29*G29</f>
        <v>0</v>
      </c>
      <c r="N29" s="48"/>
      <c r="O29" s="48">
        <f t="shared" si="9"/>
        <v>0</v>
      </c>
      <c r="Q29" s="48">
        <f t="shared" si="7"/>
        <v>56.6</v>
      </c>
      <c r="R29" s="44">
        <f t="shared" si="2"/>
        <v>0</v>
      </c>
      <c r="T29" s="48">
        <f t="shared" si="10"/>
        <v>56.6</v>
      </c>
      <c r="U29" s="48">
        <f t="shared" si="3"/>
        <v>0</v>
      </c>
      <c r="W29" s="48">
        <f t="shared" si="11"/>
        <v>0</v>
      </c>
      <c r="X29" s="48">
        <f t="shared" si="5"/>
        <v>0</v>
      </c>
    </row>
    <row r="30" spans="2:24" s="45" customFormat="1" ht="11.25" customHeight="1">
      <c r="B30" s="37">
        <v>17</v>
      </c>
      <c r="C30" s="38" t="s">
        <v>197</v>
      </c>
      <c r="D30" s="39"/>
      <c r="E30" s="40"/>
      <c r="F30" s="54">
        <v>1350</v>
      </c>
      <c r="G30" s="41">
        <f>Dateneingabe!F53</f>
        <v>343</v>
      </c>
      <c r="H30" s="42">
        <f>ROUND(C$4*F30,2)</f>
        <v>82.03</v>
      </c>
      <c r="I30" s="43"/>
      <c r="J30" s="44"/>
      <c r="L30" s="46"/>
      <c r="M30" s="47">
        <f>F30*G30</f>
        <v>463050</v>
      </c>
      <c r="N30" s="47"/>
      <c r="O30" s="48">
        <f t="shared" si="9"/>
        <v>28136.29</v>
      </c>
      <c r="Q30" s="48">
        <f t="shared" si="7"/>
        <v>84.9</v>
      </c>
      <c r="R30" s="44">
        <f t="shared" si="2"/>
        <v>29120.7</v>
      </c>
      <c r="T30" s="48">
        <f t="shared" si="10"/>
        <v>84.9</v>
      </c>
      <c r="U30" s="48">
        <f t="shared" si="3"/>
        <v>29120.7</v>
      </c>
      <c r="W30" s="48">
        <f t="shared" si="11"/>
        <v>0</v>
      </c>
      <c r="X30" s="48">
        <f t="shared" si="5"/>
        <v>0</v>
      </c>
    </row>
    <row r="31" spans="2:24" s="45" customFormat="1" ht="11.25" customHeight="1">
      <c r="B31" s="37">
        <v>18</v>
      </c>
      <c r="C31" s="38" t="s">
        <v>29</v>
      </c>
      <c r="D31" s="39"/>
      <c r="E31" s="40"/>
      <c r="F31" s="40">
        <v>633</v>
      </c>
      <c r="G31" s="41">
        <f>Dateneingabe!F54</f>
        <v>15</v>
      </c>
      <c r="H31" s="42">
        <f t="shared" ref="H31:H43" si="12">ROUND(C$4*F31,2)</f>
        <v>38.46</v>
      </c>
      <c r="I31" s="43"/>
      <c r="J31" s="44"/>
      <c r="L31" s="46"/>
      <c r="M31" s="47">
        <f t="shared" ref="M31:M43" si="13">F31*G31</f>
        <v>9495</v>
      </c>
      <c r="N31" s="48"/>
      <c r="O31" s="48">
        <f t="shared" si="9"/>
        <v>576.9</v>
      </c>
      <c r="Q31" s="48">
        <f t="shared" si="7"/>
        <v>39.81</v>
      </c>
      <c r="R31" s="44">
        <f t="shared" si="2"/>
        <v>597.15000000000009</v>
      </c>
      <c r="T31" s="48">
        <f t="shared" si="10"/>
        <v>39.81</v>
      </c>
      <c r="U31" s="48">
        <f t="shared" si="3"/>
        <v>597.15000000000009</v>
      </c>
      <c r="W31" s="48">
        <f t="shared" si="11"/>
        <v>0</v>
      </c>
      <c r="X31" s="48">
        <f t="shared" si="5"/>
        <v>0</v>
      </c>
    </row>
    <row r="32" spans="2:24" s="45" customFormat="1" ht="11.25" customHeight="1">
      <c r="B32" s="37">
        <v>19</v>
      </c>
      <c r="C32" s="38" t="s">
        <v>171</v>
      </c>
      <c r="D32" s="39"/>
      <c r="E32" s="40"/>
      <c r="F32" s="40">
        <v>467</v>
      </c>
      <c r="G32" s="41">
        <f>Dateneingabe!F55</f>
        <v>827</v>
      </c>
      <c r="H32" s="42">
        <f t="shared" si="12"/>
        <v>28.37</v>
      </c>
      <c r="I32" s="43"/>
      <c r="J32" s="44"/>
      <c r="L32" s="46"/>
      <c r="M32" s="47">
        <f t="shared" si="13"/>
        <v>386209</v>
      </c>
      <c r="N32" s="48"/>
      <c r="O32" s="48">
        <f t="shared" si="9"/>
        <v>23461.99</v>
      </c>
      <c r="Q32" s="48">
        <f t="shared" si="7"/>
        <v>29.37</v>
      </c>
      <c r="R32" s="44">
        <f t="shared" si="2"/>
        <v>24288.99</v>
      </c>
      <c r="T32" s="48">
        <f t="shared" si="10"/>
        <v>29.37</v>
      </c>
      <c r="U32" s="48">
        <f t="shared" si="3"/>
        <v>24288.99</v>
      </c>
      <c r="W32" s="48">
        <f t="shared" si="11"/>
        <v>0</v>
      </c>
      <c r="X32" s="48">
        <f t="shared" si="5"/>
        <v>0</v>
      </c>
    </row>
    <row r="33" spans="2:32" s="45" customFormat="1" ht="11.25" customHeight="1">
      <c r="B33" s="37">
        <v>20</v>
      </c>
      <c r="C33" s="38" t="s">
        <v>30</v>
      </c>
      <c r="D33" s="39"/>
      <c r="E33" s="40"/>
      <c r="F33" s="40">
        <v>467</v>
      </c>
      <c r="G33" s="41">
        <f>Dateneingabe!F56</f>
        <v>0</v>
      </c>
      <c r="H33" s="42">
        <f t="shared" si="12"/>
        <v>28.37</v>
      </c>
      <c r="I33" s="43"/>
      <c r="J33" s="44"/>
      <c r="L33" s="46"/>
      <c r="M33" s="47">
        <f t="shared" si="13"/>
        <v>0</v>
      </c>
      <c r="N33" s="48"/>
      <c r="O33" s="48">
        <f t="shared" si="9"/>
        <v>0</v>
      </c>
      <c r="Q33" s="48">
        <f t="shared" si="7"/>
        <v>29.37</v>
      </c>
      <c r="R33" s="44">
        <f t="shared" si="2"/>
        <v>0</v>
      </c>
      <c r="T33" s="48">
        <f t="shared" si="10"/>
        <v>29.37</v>
      </c>
      <c r="U33" s="48">
        <f t="shared" si="3"/>
        <v>0</v>
      </c>
      <c r="W33" s="48">
        <f t="shared" si="11"/>
        <v>0</v>
      </c>
      <c r="X33" s="48">
        <f t="shared" si="5"/>
        <v>0</v>
      </c>
    </row>
    <row r="34" spans="2:32" s="45" customFormat="1" ht="11.25" customHeight="1">
      <c r="B34" s="37">
        <v>21</v>
      </c>
      <c r="C34" s="38" t="s">
        <v>31</v>
      </c>
      <c r="D34" s="39"/>
      <c r="E34" s="40"/>
      <c r="F34" s="40">
        <v>301</v>
      </c>
      <c r="G34" s="41">
        <f>Dateneingabe!F57</f>
        <v>679</v>
      </c>
      <c r="H34" s="42">
        <f t="shared" si="12"/>
        <v>18.29</v>
      </c>
      <c r="I34" s="43"/>
      <c r="J34" s="44"/>
      <c r="L34" s="46"/>
      <c r="M34" s="47">
        <f t="shared" si="13"/>
        <v>204379</v>
      </c>
      <c r="N34" s="48"/>
      <c r="O34" s="48">
        <f t="shared" si="9"/>
        <v>12418.91</v>
      </c>
      <c r="Q34" s="48">
        <f t="shared" si="7"/>
        <v>18.93</v>
      </c>
      <c r="R34" s="44">
        <f t="shared" si="2"/>
        <v>12853.47</v>
      </c>
      <c r="T34" s="48">
        <f t="shared" si="10"/>
        <v>18.93</v>
      </c>
      <c r="U34" s="48">
        <f t="shared" si="3"/>
        <v>12853.47</v>
      </c>
      <c r="W34" s="48">
        <f t="shared" si="11"/>
        <v>0</v>
      </c>
      <c r="X34" s="48">
        <f t="shared" si="5"/>
        <v>0</v>
      </c>
    </row>
    <row r="35" spans="2:32" s="45" customFormat="1" ht="11.25" customHeight="1">
      <c r="B35" s="37">
        <v>22</v>
      </c>
      <c r="C35" s="38" t="s">
        <v>32</v>
      </c>
      <c r="D35" s="39"/>
      <c r="E35" s="40"/>
      <c r="F35" s="40">
        <v>760</v>
      </c>
      <c r="G35" s="41">
        <f>Dateneingabe!F58</f>
        <v>109</v>
      </c>
      <c r="H35" s="42">
        <f t="shared" si="12"/>
        <v>46.18</v>
      </c>
      <c r="I35" s="43"/>
      <c r="J35" s="44"/>
      <c r="L35" s="46"/>
      <c r="M35" s="47">
        <f t="shared" si="13"/>
        <v>82840</v>
      </c>
      <c r="N35" s="48"/>
      <c r="O35" s="48">
        <f t="shared" si="9"/>
        <v>5033.62</v>
      </c>
      <c r="Q35" s="48">
        <f t="shared" si="7"/>
        <v>47.8</v>
      </c>
      <c r="R35" s="44">
        <f t="shared" si="2"/>
        <v>5210.2</v>
      </c>
      <c r="T35" s="48">
        <f t="shared" si="10"/>
        <v>47.8</v>
      </c>
      <c r="U35" s="48">
        <f t="shared" si="3"/>
        <v>5210.2</v>
      </c>
      <c r="W35" s="48">
        <f t="shared" si="11"/>
        <v>0</v>
      </c>
      <c r="X35" s="48">
        <f t="shared" si="5"/>
        <v>0</v>
      </c>
    </row>
    <row r="36" spans="2:32" s="45" customFormat="1" ht="11.25" customHeight="1">
      <c r="B36" s="37">
        <v>23</v>
      </c>
      <c r="C36" s="38" t="s">
        <v>33</v>
      </c>
      <c r="D36" s="39"/>
      <c r="E36" s="40"/>
      <c r="F36" s="40">
        <v>540</v>
      </c>
      <c r="G36" s="41">
        <f>Dateneingabe!F59</f>
        <v>781</v>
      </c>
      <c r="H36" s="42">
        <f t="shared" si="12"/>
        <v>32.81</v>
      </c>
      <c r="I36" s="43"/>
      <c r="J36" s="44"/>
      <c r="L36" s="46"/>
      <c r="M36" s="47">
        <f t="shared" si="13"/>
        <v>421740</v>
      </c>
      <c r="N36" s="48"/>
      <c r="O36" s="48">
        <f t="shared" si="9"/>
        <v>25624.61</v>
      </c>
      <c r="Q36" s="48">
        <f t="shared" si="7"/>
        <v>33.96</v>
      </c>
      <c r="R36" s="44">
        <f t="shared" si="2"/>
        <v>26522.760000000002</v>
      </c>
      <c r="T36" s="48">
        <f t="shared" si="10"/>
        <v>33.96</v>
      </c>
      <c r="U36" s="48">
        <f t="shared" si="3"/>
        <v>26522.760000000002</v>
      </c>
      <c r="W36" s="48">
        <f t="shared" si="11"/>
        <v>0</v>
      </c>
      <c r="X36" s="48">
        <f t="shared" si="5"/>
        <v>0</v>
      </c>
    </row>
    <row r="37" spans="2:32" s="45" customFormat="1" ht="11.25" customHeight="1">
      <c r="B37" s="37">
        <v>24</v>
      </c>
      <c r="C37" s="38" t="s">
        <v>34</v>
      </c>
      <c r="D37" s="39"/>
      <c r="E37" s="40"/>
      <c r="F37" s="40">
        <v>768</v>
      </c>
      <c r="G37" s="41">
        <f>Dateneingabe!F60</f>
        <v>0</v>
      </c>
      <c r="H37" s="42">
        <f t="shared" si="12"/>
        <v>46.66</v>
      </c>
      <c r="I37" s="43"/>
      <c r="J37" s="44"/>
      <c r="L37" s="46"/>
      <c r="M37" s="47">
        <f t="shared" si="13"/>
        <v>0</v>
      </c>
      <c r="N37" s="48"/>
      <c r="O37" s="48">
        <f t="shared" si="9"/>
        <v>0</v>
      </c>
      <c r="Q37" s="48">
        <f t="shared" si="7"/>
        <v>48.3</v>
      </c>
      <c r="R37" s="44">
        <f t="shared" si="2"/>
        <v>0</v>
      </c>
      <c r="T37" s="48">
        <f t="shared" si="10"/>
        <v>48.3</v>
      </c>
      <c r="U37" s="48">
        <f t="shared" si="3"/>
        <v>0</v>
      </c>
      <c r="W37" s="48">
        <f t="shared" si="11"/>
        <v>0</v>
      </c>
      <c r="X37" s="48">
        <f t="shared" si="5"/>
        <v>0</v>
      </c>
    </row>
    <row r="38" spans="2:32" s="45" customFormat="1" ht="11.25" customHeight="1">
      <c r="B38" s="37">
        <v>25</v>
      </c>
      <c r="C38" s="38" t="s">
        <v>35</v>
      </c>
      <c r="D38" s="39"/>
      <c r="E38" s="40"/>
      <c r="F38" s="40">
        <v>363</v>
      </c>
      <c r="G38" s="41">
        <f>Dateneingabe!F61</f>
        <v>1445</v>
      </c>
      <c r="H38" s="42">
        <f t="shared" si="12"/>
        <v>22.06</v>
      </c>
      <c r="I38" s="43"/>
      <c r="J38" s="44"/>
      <c r="L38" s="46"/>
      <c r="M38" s="47">
        <f t="shared" si="13"/>
        <v>524535</v>
      </c>
      <c r="N38" s="48"/>
      <c r="O38" s="48">
        <f t="shared" si="9"/>
        <v>31876.699999999997</v>
      </c>
      <c r="Q38" s="48">
        <f t="shared" si="7"/>
        <v>22.83</v>
      </c>
      <c r="R38" s="44">
        <f t="shared" si="2"/>
        <v>32989.35</v>
      </c>
      <c r="T38" s="48">
        <f t="shared" si="10"/>
        <v>22.83</v>
      </c>
      <c r="U38" s="48">
        <f t="shared" si="3"/>
        <v>32989.35</v>
      </c>
      <c r="W38" s="48">
        <f t="shared" si="11"/>
        <v>0</v>
      </c>
      <c r="X38" s="48">
        <f t="shared" si="5"/>
        <v>0</v>
      </c>
    </row>
    <row r="39" spans="2:32" s="45" customFormat="1" ht="11.25" customHeight="1">
      <c r="B39" s="37">
        <v>26</v>
      </c>
      <c r="C39" s="38" t="s">
        <v>172</v>
      </c>
      <c r="D39" s="39"/>
      <c r="E39" s="40"/>
      <c r="F39" s="40">
        <v>602</v>
      </c>
      <c r="G39" s="41">
        <f>Dateneingabe!F62</f>
        <v>0</v>
      </c>
      <c r="H39" s="42">
        <f t="shared" si="12"/>
        <v>36.58</v>
      </c>
      <c r="I39" s="43"/>
      <c r="J39" s="44"/>
      <c r="L39" s="46"/>
      <c r="M39" s="47">
        <f t="shared" si="13"/>
        <v>0</v>
      </c>
      <c r="N39" s="48"/>
      <c r="O39" s="48">
        <f t="shared" si="9"/>
        <v>0</v>
      </c>
      <c r="Q39" s="48">
        <f t="shared" si="7"/>
        <v>37.86</v>
      </c>
      <c r="R39" s="44">
        <f t="shared" si="2"/>
        <v>0</v>
      </c>
      <c r="T39" s="48">
        <f t="shared" si="10"/>
        <v>37.86</v>
      </c>
      <c r="U39" s="48">
        <f t="shared" si="3"/>
        <v>0</v>
      </c>
      <c r="W39" s="48">
        <f t="shared" si="11"/>
        <v>0</v>
      </c>
      <c r="X39" s="48">
        <f t="shared" si="5"/>
        <v>0</v>
      </c>
    </row>
    <row r="40" spans="2:32" s="45" customFormat="1" ht="11.25" customHeight="1">
      <c r="B40" s="37">
        <v>27</v>
      </c>
      <c r="C40" s="38" t="s">
        <v>173</v>
      </c>
      <c r="D40" s="39"/>
      <c r="E40" s="40"/>
      <c r="F40" s="40">
        <v>104</v>
      </c>
      <c r="G40" s="41">
        <f>Dateneingabe!F63</f>
        <v>23</v>
      </c>
      <c r="H40" s="42">
        <f t="shared" si="12"/>
        <v>6.32</v>
      </c>
      <c r="I40" s="43"/>
      <c r="J40" s="44"/>
      <c r="L40" s="46"/>
      <c r="M40" s="47">
        <f t="shared" si="13"/>
        <v>2392</v>
      </c>
      <c r="N40" s="48"/>
      <c r="O40" s="48">
        <f t="shared" si="9"/>
        <v>145.36000000000001</v>
      </c>
      <c r="Q40" s="48">
        <f t="shared" si="7"/>
        <v>6.54</v>
      </c>
      <c r="R40" s="44">
        <f t="shared" si="2"/>
        <v>150.41999999999999</v>
      </c>
      <c r="T40" s="48">
        <f t="shared" si="10"/>
        <v>6.54</v>
      </c>
      <c r="U40" s="48">
        <f t="shared" si="3"/>
        <v>150.41999999999999</v>
      </c>
      <c r="W40" s="48">
        <f t="shared" si="11"/>
        <v>0</v>
      </c>
      <c r="X40" s="48">
        <f t="shared" si="5"/>
        <v>0</v>
      </c>
    </row>
    <row r="41" spans="2:32" s="45" customFormat="1" ht="11.25" customHeight="1">
      <c r="B41" s="37">
        <v>28</v>
      </c>
      <c r="C41" s="38" t="s">
        <v>174</v>
      </c>
      <c r="D41" s="39"/>
      <c r="E41" s="40"/>
      <c r="F41" s="40">
        <v>104</v>
      </c>
      <c r="G41" s="41">
        <f>Dateneingabe!F64</f>
        <v>475</v>
      </c>
      <c r="H41" s="42">
        <f t="shared" si="12"/>
        <v>6.32</v>
      </c>
      <c r="I41" s="43"/>
      <c r="J41" s="44"/>
      <c r="L41" s="46"/>
      <c r="M41" s="47">
        <f t="shared" si="13"/>
        <v>49400</v>
      </c>
      <c r="N41" s="48"/>
      <c r="O41" s="48">
        <f t="shared" si="9"/>
        <v>3002</v>
      </c>
      <c r="Q41" s="48">
        <f t="shared" si="7"/>
        <v>6.54</v>
      </c>
      <c r="R41" s="44">
        <f t="shared" si="2"/>
        <v>3106.5</v>
      </c>
      <c r="T41" s="48">
        <f t="shared" si="10"/>
        <v>6.54</v>
      </c>
      <c r="U41" s="48">
        <f t="shared" si="3"/>
        <v>3106.5</v>
      </c>
      <c r="W41" s="48">
        <f t="shared" si="11"/>
        <v>0</v>
      </c>
      <c r="X41" s="48">
        <f t="shared" si="5"/>
        <v>0</v>
      </c>
    </row>
    <row r="42" spans="2:32" s="45" customFormat="1" ht="11.25" customHeight="1">
      <c r="B42" s="37">
        <v>29</v>
      </c>
      <c r="C42" s="38" t="s">
        <v>175</v>
      </c>
      <c r="D42" s="39"/>
      <c r="E42" s="40"/>
      <c r="F42" s="40">
        <v>176</v>
      </c>
      <c r="G42" s="41">
        <f>Dateneingabe!F65</f>
        <v>477</v>
      </c>
      <c r="H42" s="42">
        <f t="shared" si="12"/>
        <v>10.69</v>
      </c>
      <c r="I42" s="43"/>
      <c r="J42" s="44"/>
      <c r="L42" s="46"/>
      <c r="M42" s="47">
        <f t="shared" si="13"/>
        <v>83952</v>
      </c>
      <c r="N42" s="48"/>
      <c r="O42" s="48">
        <f t="shared" si="9"/>
        <v>5099.13</v>
      </c>
      <c r="Q42" s="48">
        <f t="shared" si="7"/>
        <v>11.07</v>
      </c>
      <c r="R42" s="44">
        <f t="shared" si="2"/>
        <v>5280.39</v>
      </c>
      <c r="T42" s="48">
        <f t="shared" si="10"/>
        <v>11.07</v>
      </c>
      <c r="U42" s="48">
        <f t="shared" si="3"/>
        <v>5280.39</v>
      </c>
      <c r="W42" s="48">
        <f t="shared" si="11"/>
        <v>0</v>
      </c>
      <c r="X42" s="48">
        <f t="shared" si="5"/>
        <v>0</v>
      </c>
    </row>
    <row r="43" spans="2:32" s="45" customFormat="1" ht="11.25" customHeight="1">
      <c r="B43" s="37">
        <v>30</v>
      </c>
      <c r="C43" s="38" t="s">
        <v>176</v>
      </c>
      <c r="D43" s="39"/>
      <c r="E43" s="40"/>
      <c r="F43" s="40">
        <v>80</v>
      </c>
      <c r="G43" s="41">
        <f>Dateneingabe!F66</f>
        <v>69</v>
      </c>
      <c r="H43" s="42">
        <f t="shared" si="12"/>
        <v>4.8600000000000003</v>
      </c>
      <c r="I43" s="43"/>
      <c r="J43" s="44"/>
      <c r="L43" s="46"/>
      <c r="M43" s="47">
        <f t="shared" si="13"/>
        <v>5520</v>
      </c>
      <c r="N43" s="48"/>
      <c r="O43" s="48">
        <f t="shared" si="9"/>
        <v>335.34000000000003</v>
      </c>
      <c r="Q43" s="48">
        <f t="shared" si="7"/>
        <v>5.03</v>
      </c>
      <c r="R43" s="44">
        <f t="shared" si="2"/>
        <v>347.07</v>
      </c>
      <c r="T43" s="48">
        <f t="shared" si="10"/>
        <v>5.03</v>
      </c>
      <c r="U43" s="48">
        <f t="shared" si="3"/>
        <v>347.07</v>
      </c>
      <c r="W43" s="48">
        <f t="shared" si="11"/>
        <v>0</v>
      </c>
      <c r="X43" s="48">
        <f t="shared" si="5"/>
        <v>0</v>
      </c>
    </row>
    <row r="44" spans="2:32" s="45" customFormat="1" ht="11.25" customHeight="1">
      <c r="B44" s="37">
        <v>31</v>
      </c>
      <c r="C44" s="38" t="s">
        <v>177</v>
      </c>
      <c r="D44" s="39"/>
      <c r="E44" s="40"/>
      <c r="F44" s="40">
        <v>625</v>
      </c>
      <c r="G44" s="41">
        <f>Dateneingabe!F67</f>
        <v>0</v>
      </c>
      <c r="H44" s="42">
        <f>ROUND((C4)*F44/60,2)</f>
        <v>0.63</v>
      </c>
      <c r="I44" s="43" t="s">
        <v>178</v>
      </c>
      <c r="J44" s="178"/>
      <c r="L44" s="46"/>
      <c r="M44" s="47">
        <f>(ROUND(G44/60,2)*F44)</f>
        <v>0</v>
      </c>
      <c r="N44" s="48"/>
      <c r="O44" s="48">
        <f t="shared" si="9"/>
        <v>0</v>
      </c>
      <c r="Q44" s="48">
        <f>IF($F$55="",0,ROUND($F$55*F44/60,2))</f>
        <v>0.66</v>
      </c>
      <c r="R44" s="44">
        <f t="shared" si="2"/>
        <v>0</v>
      </c>
      <c r="T44" s="48">
        <f>ROUND($H$55*F44/60,2)</f>
        <v>0.66</v>
      </c>
      <c r="U44" s="48">
        <f t="shared" si="3"/>
        <v>0</v>
      </c>
      <c r="W44" s="48">
        <f>ROUND($L$55*F44/60,2)</f>
        <v>0</v>
      </c>
      <c r="X44" s="48">
        <f t="shared" si="5"/>
        <v>0</v>
      </c>
    </row>
    <row r="45" spans="2:32" s="45" customFormat="1" ht="11.25" customHeight="1">
      <c r="B45" s="37">
        <v>32</v>
      </c>
      <c r="C45" s="38" t="s">
        <v>179</v>
      </c>
      <c r="D45" s="39"/>
      <c r="E45" s="40"/>
      <c r="F45" s="40">
        <v>625</v>
      </c>
      <c r="G45" s="41">
        <f>Dateneingabe!F68</f>
        <v>0</v>
      </c>
      <c r="H45" s="42">
        <f>ROUND((C4)*F45/60,2)</f>
        <v>0.63</v>
      </c>
      <c r="I45" s="43" t="s">
        <v>178</v>
      </c>
      <c r="L45" s="46"/>
      <c r="M45" s="47">
        <f>(ROUND(G45/60,2)*F45)</f>
        <v>0</v>
      </c>
      <c r="N45" s="48"/>
      <c r="O45" s="48">
        <f t="shared" si="9"/>
        <v>0</v>
      </c>
      <c r="Q45" s="48">
        <f t="shared" ref="Q45:Q46" si="14">IF($F$55="",0,ROUND($F$55*F45/60,2))</f>
        <v>0.66</v>
      </c>
      <c r="R45" s="44">
        <f t="shared" si="2"/>
        <v>0</v>
      </c>
      <c r="T45" s="48">
        <f t="shared" ref="T45:T46" si="15">ROUND($H$55*F45/60,2)</f>
        <v>0.66</v>
      </c>
      <c r="U45" s="48">
        <f t="shared" si="3"/>
        <v>0</v>
      </c>
      <c r="W45" s="48">
        <f>ROUND($L$55*F45/60,2)</f>
        <v>0</v>
      </c>
      <c r="X45" s="48">
        <f t="shared" si="5"/>
        <v>0</v>
      </c>
    </row>
    <row r="46" spans="2:32" s="45" customFormat="1" ht="11.25" customHeight="1">
      <c r="B46" s="37">
        <v>33</v>
      </c>
      <c r="C46" s="38" t="s">
        <v>426</v>
      </c>
      <c r="D46" s="39"/>
      <c r="E46" s="40"/>
      <c r="F46" s="53">
        <v>625</v>
      </c>
      <c r="G46" s="41">
        <f>Dateneingabe!F69</f>
        <v>0</v>
      </c>
      <c r="H46" s="42">
        <f>ROUND((C4)*F46/60,2)</f>
        <v>0.63</v>
      </c>
      <c r="I46" s="43" t="s">
        <v>178</v>
      </c>
      <c r="L46" s="46"/>
      <c r="M46" s="47">
        <f>(ROUND(G46/60,2)*F46)</f>
        <v>0</v>
      </c>
      <c r="N46" s="48"/>
      <c r="O46" s="48">
        <f t="shared" si="9"/>
        <v>0</v>
      </c>
      <c r="Q46" s="48">
        <f t="shared" si="14"/>
        <v>0.66</v>
      </c>
      <c r="R46" s="44">
        <f t="shared" si="2"/>
        <v>0</v>
      </c>
      <c r="T46" s="48">
        <f t="shared" si="15"/>
        <v>0.66</v>
      </c>
      <c r="U46" s="48">
        <f t="shared" si="3"/>
        <v>0</v>
      </c>
      <c r="W46" s="48">
        <f>ROUND($L$55*F46/60,2)</f>
        <v>0</v>
      </c>
      <c r="X46" s="48">
        <f t="shared" si="5"/>
        <v>0</v>
      </c>
    </row>
    <row r="47" spans="2:32">
      <c r="B47" s="23">
        <f>VLOOKUP(E50,DropDown!E1:U15,2,FALSE)</f>
        <v>0</v>
      </c>
      <c r="C47" s="55" t="s">
        <v>180</v>
      </c>
      <c r="D47" s="17"/>
      <c r="E47" s="17"/>
      <c r="F47" s="17"/>
      <c r="G47" s="56"/>
      <c r="H47" s="17"/>
      <c r="I47" s="17"/>
      <c r="L47" s="23" t="s">
        <v>43</v>
      </c>
      <c r="M47" s="57">
        <f>SUM(M12:M46)</f>
        <v>3348626</v>
      </c>
      <c r="N47" s="57">
        <f>SUM(N26:N46)</f>
        <v>841018</v>
      </c>
      <c r="O47" s="33">
        <f>SUM(O12:O46)</f>
        <v>254529.74999999997</v>
      </c>
      <c r="P47" s="20"/>
      <c r="Q47" s="20"/>
      <c r="R47" s="33">
        <f>SUM(R12:R46)</f>
        <v>263481.06</v>
      </c>
      <c r="S47" s="20"/>
      <c r="T47" s="20"/>
      <c r="U47" s="33">
        <f>SUM(U12:U46)</f>
        <v>263481.06</v>
      </c>
      <c r="V47" s="20"/>
      <c r="W47" s="33"/>
      <c r="X47" s="33">
        <f t="shared" ref="X47" si="16">SUM(X12:X46)</f>
        <v>0</v>
      </c>
      <c r="Y47" s="20"/>
      <c r="Z47" s="20"/>
      <c r="AA47" s="20"/>
      <c r="AB47" s="20"/>
      <c r="AC47" s="20"/>
      <c r="AD47" s="20"/>
      <c r="AE47" s="20"/>
      <c r="AF47" s="20"/>
    </row>
    <row r="48" spans="2:32">
      <c r="L48" s="23"/>
      <c r="M48" s="20"/>
      <c r="N48" s="20"/>
      <c r="O48" s="20"/>
      <c r="P48" s="20"/>
      <c r="Q48" s="20"/>
      <c r="R48" s="33">
        <f>R47-O47</f>
        <v>8951.3100000000268</v>
      </c>
      <c r="S48" s="20"/>
      <c r="T48" s="20"/>
      <c r="U48" s="33">
        <f>U47-O47</f>
        <v>8951.3100000000268</v>
      </c>
      <c r="V48" s="20"/>
      <c r="W48" s="33"/>
      <c r="X48" s="33">
        <f>X47-O47</f>
        <v>-254529.74999999997</v>
      </c>
      <c r="Y48" s="20"/>
      <c r="Z48" s="20"/>
      <c r="AA48" s="20"/>
      <c r="AB48" s="20"/>
      <c r="AC48" s="20"/>
      <c r="AD48" s="20"/>
      <c r="AE48" s="20"/>
      <c r="AF48" s="20"/>
    </row>
    <row r="49" spans="2:32">
      <c r="D49" s="58"/>
      <c r="L49" s="23"/>
      <c r="M49" s="20"/>
      <c r="N49" s="20"/>
      <c r="O49" s="20"/>
      <c r="P49" s="20"/>
      <c r="Q49" s="20"/>
      <c r="R49" s="29">
        <f>R47/O47-1</f>
        <v>3.5168030456164789E-2</v>
      </c>
      <c r="S49" s="20"/>
      <c r="T49" s="20"/>
      <c r="U49" s="29">
        <f>U47/O47-1</f>
        <v>3.5168030456164789E-2</v>
      </c>
      <c r="V49" s="20"/>
      <c r="W49" s="59"/>
      <c r="X49" s="60">
        <f>X47/O47-1</f>
        <v>-1</v>
      </c>
      <c r="Y49" s="20"/>
      <c r="Z49" s="20"/>
      <c r="AA49" s="20"/>
      <c r="AB49" s="20"/>
      <c r="AC49" s="20"/>
      <c r="AD49" s="20"/>
      <c r="AE49" s="20"/>
      <c r="AF49" s="20"/>
    </row>
    <row r="50" spans="2:32">
      <c r="C50" s="411" t="s">
        <v>301</v>
      </c>
      <c r="D50" s="411"/>
      <c r="E50" s="410" t="str">
        <f>Dateneingabe!A100</f>
        <v>regional übliches Entgelt</v>
      </c>
      <c r="F50" s="410"/>
      <c r="G50" s="410"/>
      <c r="H50" s="174"/>
      <c r="I50" s="174"/>
      <c r="K50" s="61"/>
      <c r="L50" s="23"/>
      <c r="M50" s="20"/>
      <c r="N50" s="57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 spans="2:32">
      <c r="C51" s="411" t="s">
        <v>302</v>
      </c>
      <c r="D51" s="411"/>
      <c r="E51" s="412" t="str">
        <f>Dateneingabe!A102</f>
        <v>regional übliches Entgelt</v>
      </c>
      <c r="F51" s="410"/>
      <c r="G51" s="410"/>
      <c r="H51" s="174"/>
      <c r="I51" s="174"/>
      <c r="L51" s="23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 spans="2:32">
      <c r="D52" s="62"/>
      <c r="E52" s="58"/>
      <c r="J52" s="20"/>
      <c r="L52" s="23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spans="2:32">
      <c r="H53" s="20"/>
      <c r="L53" s="23"/>
      <c r="M53" s="20"/>
      <c r="P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 spans="2:32" ht="27" customHeight="1">
      <c r="C54" s="255"/>
      <c r="E54" s="413" t="s">
        <v>427</v>
      </c>
      <c r="F54" s="413"/>
      <c r="H54" s="405" t="s">
        <v>7</v>
      </c>
      <c r="I54" s="406"/>
      <c r="K54" s="409" t="s">
        <v>361</v>
      </c>
      <c r="L54" s="409"/>
      <c r="M54" s="20"/>
      <c r="N54" s="251" t="s">
        <v>428</v>
      </c>
      <c r="P54" s="20"/>
      <c r="S54" s="172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2:32">
      <c r="B55" s="20" t="s">
        <v>310</v>
      </c>
      <c r="C55" s="200">
        <f>IF(E51="Tarifanlehner",VLOOKUP(E50,DropDown!T3:W14,3,FALSE),IF(E51="Tarifanwender",VLOOKUP(E50,DropDown!AB3:AE14,3,FALSE),DropDown!AL3))</f>
        <v>46023</v>
      </c>
      <c r="E55" s="20" t="s">
        <v>5</v>
      </c>
      <c r="F55" s="177">
        <f>IF(AND(E59="Nein",E51="Tarifanlehner",E50&lt;&gt;"regional übliches Entgelt"),VLOOKUP(E50,DropDown!T3:Z14,5,FALSE),IF(AND(E59="nein",E51="Tarifanwender",E50&lt;&gt;"regional übliches Entgelt"),VLOOKUP(E50,DropDown!AB3:AH14,5,FALSE),IF(E50="regional übliches Entgelt",DropDown!AN3,0)))</f>
        <v>6.2890000000000001E-2</v>
      </c>
      <c r="H55" s="407">
        <f>Dateneingabe!C21</f>
        <v>6.2890000000000001E-2</v>
      </c>
      <c r="I55" s="407"/>
      <c r="K55" s="20" t="s">
        <v>359</v>
      </c>
      <c r="L55" s="256"/>
      <c r="M55" s="20"/>
      <c r="N55" s="257"/>
      <c r="P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 spans="2:32">
      <c r="B56" s="20" t="s">
        <v>311</v>
      </c>
      <c r="C56" s="200">
        <f>IF(E51="Tarifanlehner",VLOOKUP(E50,DropDown!T3:W14,4,FALSE),IF(E51="Tarifanwender",VLOOKUP(E50,DropDown!AB3:AE14,4,FALSE),DropDown!AM3))</f>
        <v>46387</v>
      </c>
      <c r="D56" s="20"/>
      <c r="E56" s="20" t="s">
        <v>213</v>
      </c>
      <c r="F56" s="258">
        <f>IF(AND(E59="Nein",E51="Tarifanlehner",E50&lt;&gt;"regional übliches Entgelt"),VLOOKUP(E50,DropDown!T3:Z14,6,FALSE),IF(AND(E59="nein",E51="Tarifanwender",E50&lt;&gt;"regional übliches Entgelt"),VLOOKUP(E50,DropDown!AB3:AH14,6,FALSE),IF(E50="regional übliches Entgelt",DropDown!AO3,0)))</f>
        <v>5.79</v>
      </c>
      <c r="H56" s="408">
        <f>Dateneingabe!D21</f>
        <v>5.79</v>
      </c>
      <c r="I56" s="408"/>
      <c r="K56" s="20" t="s">
        <v>360</v>
      </c>
      <c r="L56" s="259"/>
      <c r="M56" s="20"/>
      <c r="N56" s="260"/>
      <c r="P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spans="2:32">
      <c r="C57" s="20"/>
      <c r="E57" s="20" t="s">
        <v>214</v>
      </c>
      <c r="F57" s="258">
        <f>IF(AND(E59="Nein",E51="Tarifanlehner",E50&lt;&gt;"regional übliches Entgelt"),VLOOKUP(E50,DropDown!T3:Z14,7,FALSE),IF(AND(E59="nein",E51="Tarifanwender",E50&lt;&gt;"regional übliches Entgelt"),VLOOKUP(E50,DropDown!AB3:AH14,7,FALSE),IF(E50="regional übliches Entgelt",DropDown!AP3,0)))</f>
        <v>7.21</v>
      </c>
      <c r="H57" s="408">
        <f>Dateneingabe!E21</f>
        <v>7.21</v>
      </c>
      <c r="I57" s="408"/>
      <c r="J57" s="63"/>
      <c r="K57" s="20" t="s">
        <v>214</v>
      </c>
      <c r="L57" s="259"/>
      <c r="M57" s="20"/>
      <c r="N57" s="260"/>
      <c r="O57" s="20"/>
      <c r="P57" s="20"/>
      <c r="Q57" s="20"/>
      <c r="R57" s="20"/>
      <c r="S57" s="20"/>
      <c r="T57" s="20"/>
      <c r="U57" s="20"/>
    </row>
    <row r="58" spans="2:32">
      <c r="C58" s="20"/>
      <c r="D58" s="20"/>
      <c r="E58" s="20"/>
      <c r="F58" s="20"/>
      <c r="I58" s="63"/>
      <c r="J58" s="63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spans="2:32">
      <c r="B59" s="20" t="s">
        <v>429</v>
      </c>
      <c r="C59" s="20"/>
      <c r="D59" s="20"/>
      <c r="E59" s="261" t="s">
        <v>430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spans="2:32">
      <c r="B60" s="20" t="s">
        <v>431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spans="2:32">
      <c r="C61" s="20"/>
      <c r="D61" s="20"/>
      <c r="E61" s="20"/>
      <c r="F61" s="20"/>
      <c r="G61" s="20"/>
      <c r="H61" s="20"/>
      <c r="I61" s="20"/>
      <c r="J61" s="1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</row>
    <row r="62" spans="2:32">
      <c r="C62" s="20"/>
      <c r="D62" s="20"/>
      <c r="E62" s="20"/>
      <c r="F62" s="20"/>
      <c r="G62" s="20"/>
      <c r="H62" s="20"/>
      <c r="I62" s="20"/>
      <c r="J62" s="1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spans="2:32">
      <c r="B63" s="20" t="s">
        <v>432</v>
      </c>
      <c r="C63" s="20"/>
      <c r="D63" s="20"/>
      <c r="E63" s="20"/>
      <c r="F63" s="262"/>
      <c r="G63" s="20"/>
      <c r="H63" s="20"/>
      <c r="I63" s="20"/>
      <c r="J63" s="1"/>
      <c r="K63" s="20"/>
      <c r="L63" s="20"/>
      <c r="M63" s="20"/>
      <c r="N63" s="250" t="s">
        <v>433</v>
      </c>
      <c r="O63" s="20"/>
      <c r="P63" s="20"/>
      <c r="Q63" s="20"/>
      <c r="R63" s="20"/>
      <c r="S63" s="20"/>
      <c r="T63" s="20"/>
      <c r="U63" s="20"/>
    </row>
    <row r="64" spans="2:32">
      <c r="B64" s="20" t="s">
        <v>310</v>
      </c>
      <c r="C64" s="263" t="str">
        <f>IF(OR(E50="AVR Bayern",E50="AVR Caritas",E50="AVR DD (Diakonie)",E50="AVR Johanniter (DWBO)",E50="BAT-KF",E50="PTG",E50="TvöD",E50="TV AWO",E50="DRK RT"),VLOOKUP(E50,DropDown!BA2:BC14,3,FALSE),"keine Basisbereinigung")</f>
        <v>keine Basisbereinigung</v>
      </c>
      <c r="D64" s="20"/>
      <c r="E64" s="20" t="s">
        <v>5</v>
      </c>
      <c r="F64" s="264" t="str">
        <f>IF(AND(OR(E50="AVR Bayern",E50="AVR Caritas",E50="AVR DD (Diakonie)",E50="AVR Johanniter (DWBO)",E50="BAT-KF",E50="PTG",E50="TvöD",E50="TV AWO",E50="DRK RT"),E51="Tarifanlehner"),VLOOKUP(E50,DropDown!AR2:AY14,5,FALSE),IF(AND(OR(E50="AVR Bayern",E50="AVR Caritas",E50="AVR DD (Diakonie)",E50="AVR Johanniter (DWBO)",E50="BAT-KF",E50="PTG",E50="TvöD",E50="TV AWO",E50="DRK RT"),E51="Tarifanwender"),VLOOKUP(E50,DropDown!BA2:BH14,5,FALSE),""))</f>
        <v/>
      </c>
      <c r="G64" s="20"/>
      <c r="H64" s="20"/>
      <c r="I64" s="265"/>
      <c r="J64" s="1"/>
      <c r="K64" s="20"/>
      <c r="L64" s="20"/>
      <c r="M64" s="20"/>
      <c r="N64" s="266"/>
      <c r="O64" s="20"/>
      <c r="P64" s="20"/>
      <c r="Q64" s="20"/>
      <c r="R64" s="20"/>
      <c r="S64" s="20"/>
      <c r="T64" s="20"/>
      <c r="U64" s="20"/>
    </row>
    <row r="65" spans="2:21">
      <c r="B65" s="20"/>
      <c r="C65" s="263"/>
      <c r="D65" s="20"/>
      <c r="E65" s="20" t="s">
        <v>6</v>
      </c>
      <c r="F65" s="267" t="str">
        <f>IF(AND(OR(E50="AVR Bayern",E50="AVR Caritas",E50="AVR DD (Diakonie)",E50="AVR Johanniter (DWBO)",E50="BAT-KF",E50="PTG",E50="TvöD",E50="TV AWO",E50="DRK RT"),E51="Tarifanlehner"),VLOOKUP(E50,DropDown!AR2:AY14,6,FALSE),IF(AND(OR(E50="AVR Bayern",E50="AVR Caritas",E50="AVR DD (Diakonie)",E50="AVR Johanniter (DWBO)",E50="BAT-KF",E50="PTG",E50="TvöD",E50="TV AWO",E50="DRK RT"),E51="Tarifanwender"),VLOOKUP(E50,DropDown!BA2:BH14,6,FALSE),""))</f>
        <v/>
      </c>
      <c r="G65" s="20"/>
      <c r="H65" s="20"/>
      <c r="I65" s="267"/>
      <c r="J65" s="1"/>
      <c r="K65" s="20"/>
      <c r="L65" s="20"/>
      <c r="M65" s="20"/>
      <c r="N65" s="268"/>
      <c r="O65" s="20"/>
      <c r="P65" s="20"/>
      <c r="Q65" s="20"/>
      <c r="R65" s="20"/>
      <c r="S65" s="20"/>
      <c r="T65" s="20"/>
      <c r="U65" s="20"/>
    </row>
    <row r="66" spans="2:21">
      <c r="C66" s="20"/>
      <c r="D66" s="20"/>
      <c r="E66" s="20" t="s">
        <v>45</v>
      </c>
      <c r="F66" s="267" t="str">
        <f>IF(AND(OR(E50="AVR Bayern",E50="AVR Caritas",E50="AVR DD (Diakonie)",E50="AVR Johanniter (DWBO)",E50="BAT-KF",E50="PTG",E50="TvöD",E50="TV AWO",E50="DRK RT"),E51="Tarifanlehner"),VLOOKUP(E50,DropDown!AR2:AY14,7,FALSE),IF(AND(OR(E50="AVR Bayern",E50="AVR Caritas",E50="AVR DD (Diakonie)",E50="AVR Johanniter (DWBO)",E50="BAT-KF",E50="PTG",E50="TvöD",E50="TV AWO",E50="DRK RT"),E51="Tarifanwender"),VLOOKUP(E50,DropDown!BA2:BH14,7,FALSE),""))</f>
        <v/>
      </c>
      <c r="G66" s="20"/>
      <c r="H66" s="20"/>
      <c r="I66" s="267"/>
      <c r="J66" s="1"/>
      <c r="K66" s="20"/>
      <c r="L66" s="20"/>
      <c r="M66" s="20"/>
      <c r="N66" s="268"/>
      <c r="O66" s="20"/>
      <c r="P66" s="20"/>
      <c r="Q66" s="20"/>
      <c r="R66" s="20"/>
      <c r="S66" s="20"/>
      <c r="T66" s="20"/>
      <c r="U66" s="20"/>
    </row>
    <row r="67" spans="2:21"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</row>
    <row r="68" spans="2:21"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spans="2:21"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spans="2:21"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spans="2:21"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spans="2:21"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spans="2:21"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</row>
    <row r="74" spans="2:21"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spans="2:21"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spans="2:21"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spans="2:21"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spans="2:21"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spans="2:21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</row>
    <row r="80" spans="2:21"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spans="13:32"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 spans="13:32"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 spans="13:32"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 spans="13:32"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 spans="13:32"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13:32"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 spans="13:32"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 spans="13:32"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 spans="13:32"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 spans="13:32"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</row>
    <row r="91" spans="13:32"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 spans="13:32"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 spans="13:32"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 spans="13:32"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 spans="13:32"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 spans="13:32"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</row>
    <row r="97" spans="13:32"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 spans="13:32"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 spans="13:32"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 spans="13:32"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 spans="13:32"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</row>
    <row r="102" spans="13:32"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</row>
    <row r="103" spans="13:32"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</row>
    <row r="104" spans="13:32"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 spans="13:32"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 spans="13:32"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</row>
    <row r="107" spans="13:32"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 spans="13:32"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 spans="13:32"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 spans="13:32"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 spans="13:32"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</row>
    <row r="112" spans="13:32"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 spans="13:32"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</row>
    <row r="114" spans="13:32"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 spans="13:32"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 spans="13:32"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 spans="13:32"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 spans="13:32"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 spans="13:32"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 spans="13:32"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 spans="13:32"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</row>
    <row r="122" spans="13:32"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 spans="13:32"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</row>
    <row r="124" spans="13:32"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 spans="13:32"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 spans="13:32"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 spans="13:32"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  <row r="128" spans="13:32"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 spans="13:32"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</row>
    <row r="130" spans="13:32"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</row>
    <row r="131" spans="13:32"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 spans="13:32"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</row>
    <row r="133" spans="13:32"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</row>
    <row r="134" spans="13:32"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</row>
    <row r="135" spans="13:32"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</row>
    <row r="136" spans="13:32"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 spans="13:32"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</row>
    <row r="138" spans="13:32"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 spans="13:32"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 spans="13:32"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 spans="13:32"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</row>
    <row r="142" spans="13:32"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 spans="13:32"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 spans="13:32"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</sheetData>
  <mergeCells count="10">
    <mergeCell ref="E50:G50"/>
    <mergeCell ref="C50:D50"/>
    <mergeCell ref="C51:D51"/>
    <mergeCell ref="E51:G51"/>
    <mergeCell ref="E54:F54"/>
    <mergeCell ref="H54:I54"/>
    <mergeCell ref="H55:I55"/>
    <mergeCell ref="H56:I56"/>
    <mergeCell ref="K54:L54"/>
    <mergeCell ref="H57:I57"/>
  </mergeCells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8A47CD-F7C9-408D-A6F9-16BD23127052}">
          <x14:formula1>
            <xm:f>'[Berechnungsschema_2025_v1.07 intern (4).xlsx]DropDown'!#REF!</xm:f>
          </x14:formula1>
          <xm:sqref>E59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>
    <tabColor rgb="FFC9FFC9"/>
  </sheetPr>
  <dimension ref="A1:BH557"/>
  <sheetViews>
    <sheetView topLeftCell="AA1" zoomScale="85" zoomScaleNormal="85" workbookViewId="0">
      <selection activeCell="AL4" sqref="AL4"/>
    </sheetView>
  </sheetViews>
  <sheetFormatPr baseColWidth="10" defaultRowHeight="12.75"/>
  <cols>
    <col min="1" max="1" width="23.7109375" bestFit="1" customWidth="1"/>
    <col min="2" max="3" width="23.7109375" customWidth="1"/>
    <col min="5" max="5" width="30.28515625" bestFit="1" customWidth="1"/>
    <col min="6" max="6" width="21.5703125" customWidth="1"/>
    <col min="7" max="7" width="24.28515625" bestFit="1" customWidth="1"/>
    <col min="9" max="9" width="14.28515625" bestFit="1" customWidth="1"/>
    <col min="11" max="11" width="13.28515625" bestFit="1" customWidth="1"/>
    <col min="12" max="12" width="13.85546875" bestFit="1" customWidth="1"/>
    <col min="13" max="13" width="58.140625" bestFit="1" customWidth="1"/>
    <col min="20" max="20" width="24.5703125" bestFit="1" customWidth="1"/>
    <col min="21" max="21" width="8.28515625" bestFit="1" customWidth="1"/>
    <col min="22" max="22" width="12.85546875" style="166" bestFit="1" customWidth="1"/>
    <col min="23" max="23" width="11.42578125" style="166" bestFit="1" customWidth="1"/>
    <col min="24" max="24" width="11" bestFit="1" customWidth="1"/>
    <col min="25" max="26" width="7.7109375" bestFit="1" customWidth="1"/>
    <col min="28" max="28" width="24.5703125" bestFit="1" customWidth="1"/>
    <col min="29" max="29" width="9.7109375" bestFit="1" customWidth="1"/>
    <col min="30" max="30" width="12.85546875" bestFit="1" customWidth="1"/>
  </cols>
  <sheetData>
    <row r="1" spans="1:60">
      <c r="A1" t="s">
        <v>270</v>
      </c>
      <c r="B1" t="s">
        <v>303</v>
      </c>
      <c r="E1" t="s">
        <v>271</v>
      </c>
      <c r="G1" t="s">
        <v>217</v>
      </c>
      <c r="I1" t="s">
        <v>272</v>
      </c>
      <c r="K1" t="s">
        <v>288</v>
      </c>
      <c r="L1" t="s">
        <v>289</v>
      </c>
      <c r="M1" t="s">
        <v>56</v>
      </c>
      <c r="O1" t="s">
        <v>292</v>
      </c>
      <c r="R1" t="s">
        <v>286</v>
      </c>
      <c r="T1" s="414" t="s">
        <v>376</v>
      </c>
      <c r="U1" s="414"/>
      <c r="V1" s="414"/>
      <c r="W1" s="414"/>
      <c r="X1" s="414"/>
      <c r="Y1" s="414"/>
      <c r="Z1" s="414"/>
      <c r="AB1" s="414" t="s">
        <v>306</v>
      </c>
      <c r="AC1" s="414"/>
      <c r="AD1" s="414"/>
      <c r="AE1" s="414"/>
      <c r="AF1" s="414"/>
      <c r="AG1" s="414"/>
      <c r="AH1" s="414"/>
      <c r="AJ1" s="414" t="s">
        <v>378</v>
      </c>
      <c r="AK1" s="414"/>
      <c r="AL1" s="414"/>
      <c r="AM1" s="414"/>
      <c r="AN1" s="414"/>
      <c r="AO1" s="414"/>
      <c r="AP1" s="414"/>
      <c r="AR1" s="414" t="s">
        <v>433</v>
      </c>
      <c r="AS1" s="414"/>
      <c r="AT1" s="414"/>
      <c r="AU1" s="414"/>
      <c r="AV1" s="414"/>
      <c r="AW1" s="414"/>
      <c r="AX1" s="414"/>
      <c r="AY1" s="414"/>
      <c r="BA1" s="414" t="s">
        <v>433</v>
      </c>
      <c r="BB1" s="414"/>
      <c r="BC1" s="414"/>
      <c r="BD1" s="414"/>
      <c r="BE1" s="414"/>
      <c r="BF1" s="414"/>
      <c r="BG1" s="414"/>
      <c r="BH1" s="414"/>
    </row>
    <row r="2" spans="1:60">
      <c r="A2" t="s">
        <v>218</v>
      </c>
      <c r="B2" t="s">
        <v>304</v>
      </c>
      <c r="E2" s="1" t="s">
        <v>210</v>
      </c>
      <c r="F2" s="10"/>
      <c r="G2" s="1" t="s">
        <v>285</v>
      </c>
      <c r="I2" t="s">
        <v>284</v>
      </c>
      <c r="J2">
        <v>1</v>
      </c>
      <c r="K2">
        <v>0</v>
      </c>
      <c r="L2">
        <v>0</v>
      </c>
      <c r="M2" t="s">
        <v>296</v>
      </c>
      <c r="O2" t="s">
        <v>293</v>
      </c>
      <c r="R2">
        <v>30</v>
      </c>
      <c r="T2" t="s">
        <v>217</v>
      </c>
      <c r="U2" t="s">
        <v>374</v>
      </c>
      <c r="V2" t="s">
        <v>377</v>
      </c>
      <c r="W2" t="s">
        <v>323</v>
      </c>
      <c r="X2" t="s">
        <v>359</v>
      </c>
      <c r="Y2" t="s">
        <v>360</v>
      </c>
      <c r="Z2" t="s">
        <v>214</v>
      </c>
      <c r="AB2" t="s">
        <v>217</v>
      </c>
      <c r="AC2" t="s">
        <v>374</v>
      </c>
      <c r="AD2" t="s">
        <v>377</v>
      </c>
      <c r="AE2" t="s">
        <v>323</v>
      </c>
      <c r="AF2" t="s">
        <v>359</v>
      </c>
      <c r="AG2" t="s">
        <v>360</v>
      </c>
      <c r="AH2" t="s">
        <v>214</v>
      </c>
      <c r="AJ2" t="s">
        <v>217</v>
      </c>
      <c r="AK2" t="s">
        <v>374</v>
      </c>
      <c r="AL2" t="s">
        <v>377</v>
      </c>
      <c r="AM2" t="s">
        <v>323</v>
      </c>
      <c r="AN2" t="s">
        <v>359</v>
      </c>
      <c r="AO2" t="s">
        <v>360</v>
      </c>
      <c r="AP2" t="s">
        <v>214</v>
      </c>
      <c r="AR2" t="s">
        <v>217</v>
      </c>
      <c r="AS2" t="s">
        <v>374</v>
      </c>
      <c r="AT2" t="s">
        <v>377</v>
      </c>
      <c r="AU2" t="s">
        <v>323</v>
      </c>
      <c r="AV2" t="s">
        <v>359</v>
      </c>
      <c r="AW2" t="s">
        <v>360</v>
      </c>
      <c r="AX2" t="s">
        <v>214</v>
      </c>
      <c r="AY2" t="s">
        <v>434</v>
      </c>
      <c r="BA2" t="s">
        <v>217</v>
      </c>
      <c r="BB2" t="s">
        <v>374</v>
      </c>
      <c r="BC2" t="s">
        <v>377</v>
      </c>
      <c r="BD2" t="s">
        <v>323</v>
      </c>
      <c r="BE2" t="s">
        <v>359</v>
      </c>
      <c r="BF2" t="s">
        <v>360</v>
      </c>
      <c r="BG2" t="s">
        <v>214</v>
      </c>
    </row>
    <row r="3" spans="1:60">
      <c r="A3" t="s">
        <v>219</v>
      </c>
      <c r="B3" t="s">
        <v>305</v>
      </c>
      <c r="E3" s="1" t="s">
        <v>208</v>
      </c>
      <c r="F3" s="10"/>
      <c r="G3" s="1" t="s">
        <v>309</v>
      </c>
      <c r="I3" t="s">
        <v>276</v>
      </c>
      <c r="J3">
        <v>1</v>
      </c>
      <c r="K3">
        <v>1</v>
      </c>
      <c r="L3">
        <v>1</v>
      </c>
      <c r="M3" t="s">
        <v>144</v>
      </c>
      <c r="O3" t="s">
        <v>294</v>
      </c>
      <c r="R3">
        <v>30.5</v>
      </c>
      <c r="T3" s="1" t="s">
        <v>210</v>
      </c>
      <c r="U3" s="1" t="s">
        <v>376</v>
      </c>
      <c r="V3" s="252">
        <v>45778</v>
      </c>
      <c r="W3" s="252">
        <v>46022</v>
      </c>
      <c r="X3" s="176">
        <v>6.5920000000000006E-2</v>
      </c>
      <c r="Y3" s="175">
        <v>6.06</v>
      </c>
      <c r="Z3" s="175">
        <v>7.56</v>
      </c>
      <c r="AB3" s="1" t="s">
        <v>210</v>
      </c>
      <c r="AC3" s="1" t="s">
        <v>375</v>
      </c>
      <c r="AD3" s="252">
        <v>45778</v>
      </c>
      <c r="AE3" s="252" t="s">
        <v>373</v>
      </c>
      <c r="AF3" s="176">
        <v>6.8220000000000003E-2</v>
      </c>
      <c r="AG3" s="175">
        <v>6.28</v>
      </c>
      <c r="AH3" s="175">
        <v>7.82</v>
      </c>
      <c r="AJ3" s="1" t="s">
        <v>203</v>
      </c>
      <c r="AK3" s="1"/>
      <c r="AL3" s="9">
        <v>46023</v>
      </c>
      <c r="AM3" s="9">
        <v>46387</v>
      </c>
      <c r="AN3" s="362">
        <v>6.2890000000000001E-2</v>
      </c>
      <c r="AO3" s="363">
        <v>5.79</v>
      </c>
      <c r="AP3" s="363">
        <v>7.21</v>
      </c>
      <c r="AR3" s="1" t="s">
        <v>210</v>
      </c>
      <c r="AS3" s="1" t="s">
        <v>376</v>
      </c>
      <c r="AT3" s="252">
        <v>46023</v>
      </c>
      <c r="AU3" s="252"/>
      <c r="AV3" s="176">
        <v>6.3299999999999995E-2</v>
      </c>
      <c r="AW3" s="175">
        <v>5.82</v>
      </c>
      <c r="AX3" s="175">
        <v>7.26</v>
      </c>
      <c r="AY3" s="270"/>
      <c r="BA3" s="1" t="s">
        <v>210</v>
      </c>
      <c r="BB3" s="1" t="s">
        <v>375</v>
      </c>
      <c r="BC3" s="252">
        <v>46023</v>
      </c>
      <c r="BD3" s="252"/>
      <c r="BE3" s="176">
        <v>6.5509999999999999E-2</v>
      </c>
      <c r="BF3" s="175">
        <v>6.03</v>
      </c>
      <c r="BG3" s="175">
        <v>7.51</v>
      </c>
      <c r="BH3" s="184"/>
    </row>
    <row r="4" spans="1:60">
      <c r="A4" t="s">
        <v>220</v>
      </c>
      <c r="E4" s="1" t="s">
        <v>297</v>
      </c>
      <c r="F4" s="10"/>
      <c r="G4" s="1" t="s">
        <v>203</v>
      </c>
      <c r="I4" t="s">
        <v>279</v>
      </c>
      <c r="J4">
        <v>2</v>
      </c>
      <c r="K4">
        <v>2</v>
      </c>
      <c r="L4">
        <v>2</v>
      </c>
      <c r="M4" t="s">
        <v>146</v>
      </c>
      <c r="R4">
        <v>31</v>
      </c>
      <c r="T4" s="1" t="s">
        <v>208</v>
      </c>
      <c r="U4" s="1" t="s">
        <v>376</v>
      </c>
      <c r="V4" s="252">
        <v>45870</v>
      </c>
      <c r="W4" s="252">
        <v>46053</v>
      </c>
      <c r="X4" s="176">
        <v>6.4280000000000004E-2</v>
      </c>
      <c r="Y4" s="175">
        <v>5.91</v>
      </c>
      <c r="Z4" s="175">
        <v>7.37</v>
      </c>
      <c r="AB4" s="1" t="s">
        <v>208</v>
      </c>
      <c r="AC4" s="1" t="s">
        <v>375</v>
      </c>
      <c r="AD4" s="252">
        <v>45870</v>
      </c>
      <c r="AE4" s="252">
        <v>46053</v>
      </c>
      <c r="AF4" s="176">
        <v>6.6669999999999993E-2</v>
      </c>
      <c r="AG4" s="175">
        <v>6.14</v>
      </c>
      <c r="AH4" s="175">
        <v>7.65</v>
      </c>
      <c r="AN4" s="364"/>
      <c r="AO4" s="170"/>
      <c r="AP4" s="170"/>
      <c r="AR4" s="1" t="s">
        <v>208</v>
      </c>
      <c r="AS4" s="1" t="s">
        <v>376</v>
      </c>
      <c r="AT4" s="252">
        <v>46054</v>
      </c>
      <c r="AU4" s="252"/>
      <c r="AV4" s="176">
        <v>6.3409999999999994E-2</v>
      </c>
      <c r="AW4" s="175">
        <v>5.83</v>
      </c>
      <c r="AX4" s="175">
        <v>7.27</v>
      </c>
      <c r="AY4" s="269"/>
      <c r="BA4" s="1" t="s">
        <v>208</v>
      </c>
      <c r="BB4" s="1" t="s">
        <v>375</v>
      </c>
      <c r="BC4" s="252">
        <v>46054</v>
      </c>
      <c r="BD4" s="252"/>
      <c r="BE4" s="176">
        <v>6.5769999999999995E-2</v>
      </c>
      <c r="BF4" s="175">
        <v>6.05</v>
      </c>
      <c r="BG4" s="175">
        <v>7.54</v>
      </c>
      <c r="BH4" s="184"/>
    </row>
    <row r="5" spans="1:60">
      <c r="A5" t="s">
        <v>221</v>
      </c>
      <c r="E5" s="1" t="s">
        <v>308</v>
      </c>
      <c r="F5" s="10"/>
      <c r="G5" s="1"/>
      <c r="I5" t="s">
        <v>277</v>
      </c>
      <c r="J5">
        <v>1</v>
      </c>
      <c r="K5">
        <v>3</v>
      </c>
      <c r="L5">
        <v>3</v>
      </c>
      <c r="M5" t="s">
        <v>290</v>
      </c>
      <c r="R5">
        <v>31.5</v>
      </c>
      <c r="T5" s="1" t="s">
        <v>297</v>
      </c>
      <c r="U5" s="1" t="s">
        <v>376</v>
      </c>
      <c r="V5" s="252">
        <v>45778</v>
      </c>
      <c r="W5" s="252">
        <v>46142</v>
      </c>
      <c r="X5" s="176">
        <v>6.3589999999999994E-2</v>
      </c>
      <c r="Y5" s="175">
        <v>5.85</v>
      </c>
      <c r="Z5" s="175">
        <v>7.29</v>
      </c>
      <c r="AB5" s="1" t="s">
        <v>297</v>
      </c>
      <c r="AC5" s="1" t="s">
        <v>375</v>
      </c>
      <c r="AD5" s="252">
        <v>45778</v>
      </c>
      <c r="AE5" s="252">
        <v>46142</v>
      </c>
      <c r="AF5" s="176">
        <v>6.608E-2</v>
      </c>
      <c r="AG5" s="175">
        <v>6.08</v>
      </c>
      <c r="AH5" s="175">
        <v>7.58</v>
      </c>
      <c r="AR5" s="1" t="s">
        <v>297</v>
      </c>
      <c r="AS5" s="1" t="s">
        <v>376</v>
      </c>
      <c r="AT5" s="252">
        <v>46143</v>
      </c>
      <c r="AU5" s="252"/>
      <c r="AV5" s="176">
        <v>6.3189999999999996E-2</v>
      </c>
      <c r="AW5" s="175">
        <v>5.81</v>
      </c>
      <c r="AX5" s="175">
        <v>7.25</v>
      </c>
      <c r="AY5" s="270"/>
      <c r="BA5" s="1" t="s">
        <v>297</v>
      </c>
      <c r="BB5" s="1" t="s">
        <v>375</v>
      </c>
      <c r="BC5" s="252">
        <v>46143</v>
      </c>
      <c r="BD5" s="252"/>
      <c r="BE5" s="176">
        <v>6.565E-2</v>
      </c>
      <c r="BF5" s="175">
        <v>6.04</v>
      </c>
      <c r="BG5" s="175">
        <v>7.53</v>
      </c>
      <c r="BH5" s="184"/>
    </row>
    <row r="6" spans="1:60">
      <c r="A6" t="s">
        <v>222</v>
      </c>
      <c r="E6" s="1" t="s">
        <v>209</v>
      </c>
      <c r="F6" s="10"/>
      <c r="G6" s="1"/>
      <c r="I6" t="s">
        <v>216</v>
      </c>
      <c r="J6">
        <v>1</v>
      </c>
      <c r="K6">
        <v>4</v>
      </c>
      <c r="L6">
        <v>4</v>
      </c>
      <c r="M6" t="s">
        <v>287</v>
      </c>
      <c r="R6">
        <v>32</v>
      </c>
      <c r="T6" s="1" t="s">
        <v>308</v>
      </c>
      <c r="U6" s="1" t="s">
        <v>376</v>
      </c>
      <c r="V6" s="252">
        <v>45870</v>
      </c>
      <c r="W6" s="252">
        <v>46022</v>
      </c>
      <c r="X6" s="176">
        <v>6.1650000000000003E-2</v>
      </c>
      <c r="Y6" s="175">
        <v>5.68</v>
      </c>
      <c r="Z6" s="175">
        <v>7.1</v>
      </c>
      <c r="AB6" s="1" t="s">
        <v>308</v>
      </c>
      <c r="AC6" s="1" t="s">
        <v>375</v>
      </c>
      <c r="AD6" s="252">
        <v>45870</v>
      </c>
      <c r="AE6" s="252" t="s">
        <v>373</v>
      </c>
      <c r="AF6" s="176">
        <v>6.4350000000000004E-2</v>
      </c>
      <c r="AG6" s="175">
        <v>5.93</v>
      </c>
      <c r="AH6" s="175">
        <v>7.38</v>
      </c>
      <c r="AR6" s="1" t="s">
        <v>308</v>
      </c>
      <c r="AS6" s="1" t="s">
        <v>376</v>
      </c>
      <c r="AT6" s="252">
        <v>46023</v>
      </c>
      <c r="AU6" s="252"/>
      <c r="AV6" s="176">
        <v>5.985E-2</v>
      </c>
      <c r="AW6" s="175">
        <v>5.52</v>
      </c>
      <c r="AX6" s="175">
        <v>6.89</v>
      </c>
      <c r="AY6" s="270"/>
      <c r="BA6" s="1" t="s">
        <v>308</v>
      </c>
      <c r="BB6" s="1" t="s">
        <v>375</v>
      </c>
      <c r="BC6" s="252">
        <v>46023</v>
      </c>
      <c r="BD6" s="252"/>
      <c r="BE6" s="176">
        <v>6.216E-2</v>
      </c>
      <c r="BF6" s="175">
        <v>5.72</v>
      </c>
      <c r="BG6" s="175">
        <v>7.13</v>
      </c>
      <c r="BH6" s="184"/>
    </row>
    <row r="7" spans="1:60">
      <c r="A7" t="s">
        <v>223</v>
      </c>
      <c r="E7" s="1" t="s">
        <v>211</v>
      </c>
      <c r="F7" s="10"/>
      <c r="G7" s="1"/>
      <c r="I7" t="s">
        <v>278</v>
      </c>
      <c r="J7">
        <v>1</v>
      </c>
      <c r="K7">
        <v>5</v>
      </c>
      <c r="L7">
        <v>5</v>
      </c>
      <c r="M7" t="s">
        <v>188</v>
      </c>
      <c r="R7">
        <v>32.5</v>
      </c>
      <c r="T7" s="1" t="s">
        <v>209</v>
      </c>
      <c r="U7" s="1" t="s">
        <v>376</v>
      </c>
      <c r="V7" s="252">
        <v>45870</v>
      </c>
      <c r="W7" s="252">
        <v>46142</v>
      </c>
      <c r="X7" s="176">
        <v>6.3990000000000005E-2</v>
      </c>
      <c r="Y7" s="175">
        <v>5.89</v>
      </c>
      <c r="Z7" s="175">
        <v>7.34</v>
      </c>
      <c r="AB7" s="1" t="s">
        <v>209</v>
      </c>
      <c r="AC7" s="1" t="s">
        <v>375</v>
      </c>
      <c r="AD7" s="252">
        <v>45870</v>
      </c>
      <c r="AE7" s="252">
        <v>46142</v>
      </c>
      <c r="AF7" s="176">
        <v>6.7129999999999995E-2</v>
      </c>
      <c r="AG7" s="175">
        <v>6.18</v>
      </c>
      <c r="AH7" s="175">
        <v>7.7</v>
      </c>
      <c r="AR7" s="1" t="s">
        <v>209</v>
      </c>
      <c r="AS7" s="1" t="s">
        <v>376</v>
      </c>
      <c r="AT7" s="252">
        <v>46143</v>
      </c>
      <c r="AU7" s="252"/>
      <c r="AV7" s="176">
        <v>6.3409999999999994E-2</v>
      </c>
      <c r="AW7" s="175">
        <v>5.83</v>
      </c>
      <c r="AX7" s="175">
        <v>7.27</v>
      </c>
      <c r="AY7" s="270"/>
      <c r="BA7" s="1" t="s">
        <v>209</v>
      </c>
      <c r="BB7" s="1" t="s">
        <v>375</v>
      </c>
      <c r="BC7" s="252">
        <v>46143</v>
      </c>
      <c r="BD7" s="252"/>
      <c r="BE7" s="176">
        <v>6.5769999999999995E-2</v>
      </c>
      <c r="BF7" s="175">
        <v>6.05</v>
      </c>
      <c r="BG7" s="175">
        <v>7.54</v>
      </c>
      <c r="BH7" s="184"/>
    </row>
    <row r="8" spans="1:60">
      <c r="A8" t="s">
        <v>224</v>
      </c>
      <c r="E8" s="1" t="s">
        <v>203</v>
      </c>
      <c r="F8" s="10"/>
      <c r="G8" s="1"/>
      <c r="I8" t="s">
        <v>280</v>
      </c>
      <c r="J8">
        <v>2</v>
      </c>
      <c r="K8">
        <v>6</v>
      </c>
      <c r="L8">
        <v>6</v>
      </c>
      <c r="M8" t="s">
        <v>141</v>
      </c>
      <c r="R8">
        <v>33</v>
      </c>
      <c r="T8" s="180" t="s">
        <v>211</v>
      </c>
      <c r="U8" s="180" t="s">
        <v>376</v>
      </c>
      <c r="V8" s="181">
        <v>45992</v>
      </c>
      <c r="W8" s="181">
        <v>46295</v>
      </c>
      <c r="X8" s="182">
        <v>6.411E-2</v>
      </c>
      <c r="Y8" s="183">
        <v>5.9</v>
      </c>
      <c r="Z8" s="183">
        <v>7.35</v>
      </c>
      <c r="AB8" s="180" t="s">
        <v>211</v>
      </c>
      <c r="AC8" s="180" t="s">
        <v>376</v>
      </c>
      <c r="AD8" s="181">
        <v>45992</v>
      </c>
      <c r="AE8" s="181">
        <v>46295</v>
      </c>
      <c r="AF8" s="182">
        <v>6.4759999999999998E-2</v>
      </c>
      <c r="AG8" s="183">
        <v>5.96</v>
      </c>
      <c r="AH8" s="183">
        <v>7.43</v>
      </c>
      <c r="AR8" s="180" t="s">
        <v>211</v>
      </c>
      <c r="AS8" s="180" t="s">
        <v>376</v>
      </c>
      <c r="AT8" s="181">
        <v>46296</v>
      </c>
      <c r="AU8" s="181"/>
      <c r="AV8" s="182">
        <v>6.3630000000000006E-2</v>
      </c>
      <c r="AW8" s="183">
        <v>5.86</v>
      </c>
      <c r="AX8" s="183">
        <v>7.3</v>
      </c>
      <c r="AY8" s="270"/>
      <c r="BA8" s="180" t="s">
        <v>211</v>
      </c>
      <c r="BB8" s="180" t="s">
        <v>376</v>
      </c>
      <c r="BC8" s="181">
        <v>46296</v>
      </c>
      <c r="BD8" s="181"/>
      <c r="BE8" s="182">
        <v>6.3630000000000006E-2</v>
      </c>
      <c r="BF8" s="183">
        <v>5.86</v>
      </c>
      <c r="BG8" s="183">
        <v>7.3</v>
      </c>
      <c r="BH8" s="184"/>
    </row>
    <row r="9" spans="1:60">
      <c r="A9" t="s">
        <v>225</v>
      </c>
      <c r="E9" s="1" t="s">
        <v>201</v>
      </c>
      <c r="F9" s="10"/>
      <c r="G9" s="1"/>
      <c r="I9" t="s">
        <v>281</v>
      </c>
      <c r="J9">
        <v>2</v>
      </c>
      <c r="K9">
        <v>7</v>
      </c>
      <c r="L9">
        <v>7</v>
      </c>
      <c r="M9" t="s">
        <v>295</v>
      </c>
      <c r="R9">
        <v>33.5</v>
      </c>
      <c r="T9" s="1" t="s">
        <v>299</v>
      </c>
      <c r="U9" s="1" t="s">
        <v>376</v>
      </c>
      <c r="V9" s="252" t="s">
        <v>372</v>
      </c>
      <c r="W9" s="252" t="s">
        <v>373</v>
      </c>
      <c r="X9" s="176"/>
      <c r="Y9" s="175"/>
      <c r="Z9" s="175"/>
      <c r="AB9" s="1" t="s">
        <v>299</v>
      </c>
      <c r="AC9" s="1" t="s">
        <v>375</v>
      </c>
      <c r="AD9" s="252" t="s">
        <v>372</v>
      </c>
      <c r="AE9" s="252" t="s">
        <v>373</v>
      </c>
      <c r="AF9" s="176"/>
      <c r="AG9" s="175"/>
      <c r="AH9" s="175"/>
      <c r="AR9" s="1" t="s">
        <v>299</v>
      </c>
      <c r="AS9" s="1" t="s">
        <v>376</v>
      </c>
      <c r="AT9" s="252"/>
      <c r="AU9" s="252"/>
      <c r="AV9" s="176"/>
      <c r="AW9" s="175"/>
      <c r="AX9" s="175"/>
      <c r="AY9" s="270"/>
      <c r="BA9" s="1" t="s">
        <v>299</v>
      </c>
      <c r="BB9" s="1" t="s">
        <v>375</v>
      </c>
      <c r="BC9" s="252"/>
      <c r="BD9" s="252"/>
      <c r="BE9" s="176"/>
      <c r="BF9" s="175"/>
      <c r="BG9" s="175"/>
      <c r="BH9" s="184"/>
    </row>
    <row r="10" spans="1:60">
      <c r="A10" t="s">
        <v>226</v>
      </c>
      <c r="E10" s="1" t="s">
        <v>212</v>
      </c>
      <c r="F10" s="10"/>
      <c r="G10" s="1"/>
      <c r="I10" t="s">
        <v>282</v>
      </c>
      <c r="J10">
        <v>2</v>
      </c>
      <c r="K10">
        <v>8</v>
      </c>
      <c r="L10">
        <v>8</v>
      </c>
      <c r="M10" t="s">
        <v>207</v>
      </c>
      <c r="R10">
        <v>34</v>
      </c>
      <c r="T10" s="1" t="s">
        <v>300</v>
      </c>
      <c r="U10" s="1" t="s">
        <v>376</v>
      </c>
      <c r="V10" s="252" t="s">
        <v>372</v>
      </c>
      <c r="W10" s="252" t="s">
        <v>373</v>
      </c>
      <c r="X10" s="176"/>
      <c r="Y10" s="175"/>
      <c r="Z10" s="175"/>
      <c r="AB10" s="1" t="s">
        <v>300</v>
      </c>
      <c r="AC10" s="1" t="s">
        <v>375</v>
      </c>
      <c r="AD10" s="252" t="s">
        <v>372</v>
      </c>
      <c r="AE10" s="252" t="s">
        <v>373</v>
      </c>
      <c r="AF10" s="176"/>
      <c r="AG10" s="175"/>
      <c r="AH10" s="175"/>
      <c r="AR10" s="1" t="s">
        <v>300</v>
      </c>
      <c r="AS10" s="1" t="s">
        <v>376</v>
      </c>
      <c r="AT10" s="252"/>
      <c r="AU10" s="252"/>
      <c r="AV10" s="176"/>
      <c r="AW10" s="175"/>
      <c r="AX10" s="175"/>
      <c r="AY10" s="270"/>
      <c r="BA10" s="1" t="s">
        <v>300</v>
      </c>
      <c r="BB10" s="1" t="s">
        <v>375</v>
      </c>
      <c r="BC10" s="252"/>
      <c r="BD10" s="252"/>
      <c r="BE10" s="176"/>
      <c r="BF10" s="175"/>
      <c r="BG10" s="175"/>
      <c r="BH10" s="184"/>
    </row>
    <row r="11" spans="1:60">
      <c r="A11" t="s">
        <v>227</v>
      </c>
      <c r="E11" s="1" t="s">
        <v>410</v>
      </c>
      <c r="F11" s="10"/>
      <c r="I11" t="s">
        <v>273</v>
      </c>
      <c r="J11">
        <v>2</v>
      </c>
      <c r="K11">
        <v>9</v>
      </c>
      <c r="L11">
        <v>9</v>
      </c>
      <c r="R11">
        <v>34.5</v>
      </c>
      <c r="T11" s="1" t="s">
        <v>298</v>
      </c>
      <c r="U11" s="1" t="s">
        <v>376</v>
      </c>
      <c r="V11" s="252">
        <v>45931</v>
      </c>
      <c r="W11" s="252">
        <v>46022</v>
      </c>
      <c r="X11" s="176">
        <v>6.5439999999999998E-2</v>
      </c>
      <c r="Y11" s="175">
        <v>6.02</v>
      </c>
      <c r="Z11" s="175">
        <v>7.5</v>
      </c>
      <c r="AB11" s="1" t="s">
        <v>298</v>
      </c>
      <c r="AC11" s="1" t="s">
        <v>375</v>
      </c>
      <c r="AD11" s="252">
        <v>45931</v>
      </c>
      <c r="AE11" s="252">
        <v>46022</v>
      </c>
      <c r="AF11" s="176">
        <v>6.5790000000000001E-2</v>
      </c>
      <c r="AG11" s="175">
        <v>6.06</v>
      </c>
      <c r="AH11" s="254">
        <v>7.55</v>
      </c>
      <c r="AR11" s="1" t="s">
        <v>298</v>
      </c>
      <c r="AS11" s="1" t="s">
        <v>376</v>
      </c>
      <c r="AT11" s="252">
        <v>46023</v>
      </c>
      <c r="AU11" s="252"/>
      <c r="AV11" s="176">
        <v>6.386E-2</v>
      </c>
      <c r="AW11" s="175">
        <v>5.88</v>
      </c>
      <c r="AX11" s="175">
        <v>7.32</v>
      </c>
      <c r="AY11" s="270"/>
      <c r="BA11" s="1" t="s">
        <v>298</v>
      </c>
      <c r="BB11" s="1" t="s">
        <v>375</v>
      </c>
      <c r="BC11" s="252">
        <v>46023</v>
      </c>
      <c r="BD11" s="252"/>
      <c r="BE11" s="176">
        <v>6.4199999999999993E-2</v>
      </c>
      <c r="BF11" s="175">
        <v>5.91</v>
      </c>
      <c r="BG11" s="254">
        <v>7.36</v>
      </c>
      <c r="BH11" s="271"/>
    </row>
    <row r="12" spans="1:60">
      <c r="A12" t="s">
        <v>228</v>
      </c>
      <c r="E12" s="1" t="s">
        <v>298</v>
      </c>
      <c r="F12" s="10"/>
      <c r="I12" t="s">
        <v>274</v>
      </c>
      <c r="J12">
        <v>1</v>
      </c>
      <c r="K12">
        <v>10</v>
      </c>
      <c r="L12">
        <v>10</v>
      </c>
      <c r="R12">
        <v>35</v>
      </c>
      <c r="T12" s="1" t="s">
        <v>410</v>
      </c>
      <c r="U12" s="1" t="s">
        <v>376</v>
      </c>
      <c r="V12" s="252">
        <v>45870</v>
      </c>
      <c r="W12" s="252" t="s">
        <v>373</v>
      </c>
      <c r="X12" s="253">
        <v>6.1800000000000001E-2</v>
      </c>
      <c r="Y12" s="254">
        <v>5.69</v>
      </c>
      <c r="Z12" s="254">
        <v>7.09</v>
      </c>
      <c r="AB12" s="1" t="s">
        <v>410</v>
      </c>
      <c r="AC12" s="1" t="s">
        <v>375</v>
      </c>
      <c r="AD12" s="252">
        <v>45870</v>
      </c>
      <c r="AE12" s="252" t="s">
        <v>373</v>
      </c>
      <c r="AF12" s="253">
        <v>6.1800000000000001E-2</v>
      </c>
      <c r="AG12" s="254">
        <v>5.69</v>
      </c>
      <c r="AH12" s="254">
        <v>7.09</v>
      </c>
      <c r="AR12" s="1" t="s">
        <v>410</v>
      </c>
      <c r="AS12" s="1" t="s">
        <v>376</v>
      </c>
      <c r="AT12" s="252">
        <v>46023</v>
      </c>
      <c r="AU12" s="252"/>
      <c r="AV12" s="253">
        <v>6.1199999999999997E-2</v>
      </c>
      <c r="AW12" s="254">
        <v>5.63</v>
      </c>
      <c r="AX12" s="254">
        <v>7.02</v>
      </c>
      <c r="AY12" s="271"/>
      <c r="BA12" s="1" t="s">
        <v>410</v>
      </c>
      <c r="BB12" s="1" t="s">
        <v>375</v>
      </c>
      <c r="BC12" s="252">
        <v>46023</v>
      </c>
      <c r="BD12" s="252"/>
      <c r="BE12" s="253">
        <v>6.1199999999999997E-2</v>
      </c>
      <c r="BF12" s="254">
        <v>5.63</v>
      </c>
      <c r="BG12" s="254">
        <v>7.02</v>
      </c>
      <c r="BH12" s="271"/>
    </row>
    <row r="13" spans="1:60">
      <c r="A13" t="s">
        <v>229</v>
      </c>
      <c r="E13" s="1" t="s">
        <v>299</v>
      </c>
      <c r="F13" s="10"/>
      <c r="I13" t="s">
        <v>275</v>
      </c>
      <c r="J13">
        <v>1</v>
      </c>
      <c r="K13">
        <v>11</v>
      </c>
      <c r="R13">
        <v>35.5</v>
      </c>
      <c r="T13" s="1" t="s">
        <v>201</v>
      </c>
      <c r="U13" s="1" t="s">
        <v>376</v>
      </c>
      <c r="V13" s="252">
        <v>45870</v>
      </c>
      <c r="W13" s="252">
        <v>46142</v>
      </c>
      <c r="X13" s="176">
        <v>6.3990000000000005E-2</v>
      </c>
      <c r="Y13" s="175">
        <v>5.89</v>
      </c>
      <c r="Z13" s="175">
        <v>7.34</v>
      </c>
      <c r="AB13" s="1" t="s">
        <v>201</v>
      </c>
      <c r="AC13" s="1" t="s">
        <v>375</v>
      </c>
      <c r="AD13" s="252">
        <v>45870</v>
      </c>
      <c r="AE13" s="252">
        <v>46142</v>
      </c>
      <c r="AF13" s="176">
        <v>6.7129999999999995E-2</v>
      </c>
      <c r="AG13" s="175">
        <v>6.18</v>
      </c>
      <c r="AH13" s="175">
        <v>7.7</v>
      </c>
      <c r="AR13" s="1" t="s">
        <v>201</v>
      </c>
      <c r="AS13" s="1" t="s">
        <v>376</v>
      </c>
      <c r="AT13" s="252">
        <v>46143</v>
      </c>
      <c r="AU13" s="252"/>
      <c r="AV13" s="176">
        <v>6.3409999999999994E-2</v>
      </c>
      <c r="AW13" s="175">
        <v>5.83</v>
      </c>
      <c r="AX13" s="175">
        <v>7.27</v>
      </c>
      <c r="AY13" s="270"/>
      <c r="BA13" s="1" t="s">
        <v>201</v>
      </c>
      <c r="BB13" s="1" t="s">
        <v>375</v>
      </c>
      <c r="BC13" s="252">
        <v>46143</v>
      </c>
      <c r="BD13" s="252"/>
      <c r="BE13" s="176">
        <v>6.5769999999999995E-2</v>
      </c>
      <c r="BF13" s="175">
        <v>6.05</v>
      </c>
      <c r="BG13" s="175">
        <v>7.54</v>
      </c>
      <c r="BH13" s="184"/>
    </row>
    <row r="14" spans="1:60">
      <c r="A14" t="s">
        <v>230</v>
      </c>
      <c r="E14" s="1" t="s">
        <v>300</v>
      </c>
      <c r="F14" s="10"/>
      <c r="I14" t="s">
        <v>283</v>
      </c>
      <c r="J14">
        <v>2</v>
      </c>
      <c r="K14">
        <v>12</v>
      </c>
      <c r="R14">
        <v>36</v>
      </c>
      <c r="T14" s="1" t="s">
        <v>212</v>
      </c>
      <c r="U14" s="1" t="s">
        <v>376</v>
      </c>
      <c r="V14" s="252" t="s">
        <v>372</v>
      </c>
      <c r="W14" s="252" t="s">
        <v>373</v>
      </c>
      <c r="X14" s="176">
        <v>6.0769999999999998E-2</v>
      </c>
      <c r="Y14" s="175">
        <v>5.59</v>
      </c>
      <c r="Z14" s="175">
        <v>6.97</v>
      </c>
      <c r="AB14" s="1" t="s">
        <v>212</v>
      </c>
      <c r="AC14" s="1" t="s">
        <v>375</v>
      </c>
      <c r="AD14" s="252" t="s">
        <v>372</v>
      </c>
      <c r="AE14" s="252" t="s">
        <v>373</v>
      </c>
      <c r="AF14" s="176">
        <v>6.3030000000000003E-2</v>
      </c>
      <c r="AG14" s="175">
        <v>5.8</v>
      </c>
      <c r="AH14" s="175">
        <v>7.23</v>
      </c>
      <c r="AR14" s="1" t="s">
        <v>212</v>
      </c>
      <c r="AS14" s="1" t="s">
        <v>376</v>
      </c>
      <c r="AT14" s="252"/>
      <c r="AU14" s="252"/>
      <c r="AV14" s="176"/>
      <c r="AW14" s="175"/>
      <c r="AX14" s="175"/>
      <c r="AY14" s="175"/>
      <c r="BA14" s="1" t="s">
        <v>212</v>
      </c>
      <c r="BB14" s="1" t="s">
        <v>375</v>
      </c>
      <c r="BC14" s="252"/>
      <c r="BD14" s="252"/>
      <c r="BE14" s="176"/>
      <c r="BF14" s="175"/>
      <c r="BG14" s="175"/>
      <c r="BH14" s="184"/>
    </row>
    <row r="15" spans="1:60">
      <c r="A15" t="s">
        <v>231</v>
      </c>
      <c r="E15" s="1"/>
      <c r="F15" s="10"/>
      <c r="K15">
        <v>13</v>
      </c>
      <c r="R15">
        <v>36.5</v>
      </c>
      <c r="T15" s="1"/>
      <c r="U15" s="1"/>
      <c r="V15" s="179"/>
      <c r="W15" s="179"/>
      <c r="X15" s="176"/>
      <c r="Y15" s="175"/>
      <c r="Z15" s="175"/>
      <c r="AB15" s="1"/>
      <c r="AC15" s="1"/>
      <c r="AD15" s="179"/>
      <c r="AE15" s="179"/>
      <c r="AF15" s="176"/>
      <c r="AG15" s="175"/>
      <c r="AH15" s="175"/>
    </row>
    <row r="16" spans="1:60">
      <c r="A16" t="s">
        <v>232</v>
      </c>
      <c r="E16" s="1"/>
      <c r="F16" s="166"/>
      <c r="K16">
        <v>14</v>
      </c>
      <c r="R16">
        <v>37</v>
      </c>
      <c r="AD16" s="166"/>
      <c r="AE16" s="166"/>
    </row>
    <row r="17" spans="1:37">
      <c r="A17" t="s">
        <v>233</v>
      </c>
      <c r="E17" s="1"/>
      <c r="F17" s="166"/>
      <c r="K17">
        <v>15</v>
      </c>
      <c r="R17">
        <v>37.5</v>
      </c>
      <c r="AD17" s="166"/>
      <c r="AE17" s="166"/>
      <c r="AJ17" s="168"/>
    </row>
    <row r="18" spans="1:37">
      <c r="A18" t="s">
        <v>234</v>
      </c>
      <c r="E18" s="1"/>
      <c r="F18" s="166"/>
      <c r="R18">
        <v>38</v>
      </c>
      <c r="AD18" s="166"/>
      <c r="AE18" s="166"/>
      <c r="AJ18" s="168"/>
      <c r="AK18" s="168"/>
    </row>
    <row r="19" spans="1:37">
      <c r="A19" t="s">
        <v>235</v>
      </c>
      <c r="E19" s="1"/>
      <c r="F19" s="166"/>
      <c r="R19">
        <v>38.5</v>
      </c>
      <c r="AD19" s="166"/>
      <c r="AE19" s="166"/>
      <c r="AK19" s="168"/>
    </row>
    <row r="20" spans="1:37">
      <c r="A20" t="s">
        <v>236</v>
      </c>
      <c r="E20" s="1"/>
      <c r="R20">
        <v>39</v>
      </c>
      <c r="AD20" s="166"/>
      <c r="AE20" s="166"/>
      <c r="AJ20" s="168"/>
      <c r="AK20" s="184"/>
    </row>
    <row r="21" spans="1:37">
      <c r="A21" t="s">
        <v>237</v>
      </c>
      <c r="E21" s="1"/>
      <c r="R21">
        <v>39.5</v>
      </c>
      <c r="AD21" s="166"/>
      <c r="AE21" s="166"/>
    </row>
    <row r="22" spans="1:37">
      <c r="A22" t="s">
        <v>238</v>
      </c>
      <c r="E22" s="1"/>
      <c r="R22">
        <v>40</v>
      </c>
      <c r="AD22" s="166"/>
      <c r="AE22" s="166"/>
      <c r="AK22" s="168"/>
    </row>
    <row r="23" spans="1:37">
      <c r="A23" t="s">
        <v>239</v>
      </c>
      <c r="E23" s="1"/>
      <c r="R23">
        <v>40.5</v>
      </c>
      <c r="AD23" s="166"/>
      <c r="AE23" s="166"/>
    </row>
    <row r="24" spans="1:37">
      <c r="A24" t="s">
        <v>240</v>
      </c>
      <c r="E24" s="1"/>
      <c r="F24" s="10"/>
      <c r="R24">
        <v>41</v>
      </c>
      <c r="AD24" s="166"/>
      <c r="AE24" s="166"/>
      <c r="AK24" s="168"/>
    </row>
    <row r="25" spans="1:37">
      <c r="A25" t="s">
        <v>241</v>
      </c>
      <c r="E25" s="1"/>
      <c r="F25" s="9"/>
      <c r="R25">
        <v>41.5</v>
      </c>
      <c r="AD25" s="166"/>
      <c r="AE25" s="166"/>
    </row>
    <row r="26" spans="1:37">
      <c r="A26" t="s">
        <v>242</v>
      </c>
      <c r="E26" s="1"/>
      <c r="F26" s="9"/>
      <c r="R26">
        <v>42</v>
      </c>
      <c r="AD26" s="166"/>
      <c r="AE26" s="166"/>
    </row>
    <row r="27" spans="1:37">
      <c r="A27" t="s">
        <v>243</v>
      </c>
      <c r="E27" s="1"/>
      <c r="F27" s="10"/>
      <c r="AD27" s="166"/>
      <c r="AE27" s="166"/>
    </row>
    <row r="28" spans="1:37">
      <c r="A28" t="s">
        <v>244</v>
      </c>
      <c r="E28" s="1"/>
      <c r="F28" s="9"/>
      <c r="AD28" s="166"/>
      <c r="AE28" s="166"/>
    </row>
    <row r="29" spans="1:37">
      <c r="A29" t="s">
        <v>245</v>
      </c>
      <c r="F29" s="9"/>
      <c r="AD29" s="166"/>
      <c r="AE29" s="166"/>
    </row>
    <row r="30" spans="1:37">
      <c r="A30" t="s">
        <v>246</v>
      </c>
      <c r="F30" s="9"/>
      <c r="AD30" s="166"/>
      <c r="AE30" s="166"/>
    </row>
    <row r="31" spans="1:37">
      <c r="A31" t="s">
        <v>247</v>
      </c>
      <c r="F31" s="10"/>
      <c r="AD31" s="166"/>
      <c r="AE31" s="166"/>
    </row>
    <row r="32" spans="1:37">
      <c r="A32" t="s">
        <v>248</v>
      </c>
      <c r="F32" s="9"/>
      <c r="AD32" s="166"/>
      <c r="AE32" s="166"/>
    </row>
    <row r="33" spans="1:31">
      <c r="A33" t="s">
        <v>249</v>
      </c>
      <c r="F33" s="9"/>
      <c r="AD33" s="166"/>
      <c r="AE33" s="166"/>
    </row>
    <row r="34" spans="1:31">
      <c r="A34" t="s">
        <v>250</v>
      </c>
      <c r="F34" s="9"/>
      <c r="AD34" s="166"/>
      <c r="AE34" s="166"/>
    </row>
    <row r="35" spans="1:31">
      <c r="A35" t="s">
        <v>251</v>
      </c>
      <c r="F35" s="10"/>
      <c r="AD35" s="166"/>
      <c r="AE35" s="166"/>
    </row>
    <row r="36" spans="1:31">
      <c r="A36" t="s">
        <v>252</v>
      </c>
      <c r="F36" s="10"/>
      <c r="V36" s="9"/>
      <c r="W36" s="9"/>
      <c r="X36" s="10"/>
      <c r="Y36" s="10"/>
      <c r="Z36" s="10"/>
      <c r="AD36" s="9"/>
      <c r="AE36" s="9"/>
    </row>
    <row r="37" spans="1:31">
      <c r="A37" t="s">
        <v>253</v>
      </c>
      <c r="F37" s="10"/>
      <c r="G37" s="1"/>
      <c r="H37" s="1"/>
      <c r="I37" s="1"/>
      <c r="J37" s="1"/>
      <c r="K37" s="1"/>
      <c r="L37" s="1" t="s">
        <v>299</v>
      </c>
      <c r="M37" s="1" t="s">
        <v>300</v>
      </c>
      <c r="V37" s="9"/>
      <c r="W37" s="9"/>
      <c r="X37" s="10"/>
      <c r="Y37" s="10"/>
      <c r="Z37" s="10"/>
      <c r="AD37" s="9"/>
      <c r="AE37" s="9"/>
    </row>
    <row r="38" spans="1:31">
      <c r="A38" t="s">
        <v>254</v>
      </c>
      <c r="F38" s="10"/>
      <c r="V38" s="9"/>
      <c r="W38" s="9"/>
      <c r="X38" s="10"/>
      <c r="Y38" s="10"/>
      <c r="Z38" s="10"/>
      <c r="AD38" s="9"/>
      <c r="AE38" s="9"/>
    </row>
    <row r="39" spans="1:31">
      <c r="A39" t="s">
        <v>255</v>
      </c>
      <c r="F39" s="10"/>
      <c r="AD39" s="166"/>
      <c r="AE39" s="166"/>
    </row>
    <row r="40" spans="1:31">
      <c r="A40" t="s">
        <v>256</v>
      </c>
      <c r="G40" s="1"/>
      <c r="H40" s="1"/>
      <c r="AD40" s="166"/>
      <c r="AE40" s="166"/>
    </row>
    <row r="41" spans="1:31">
      <c r="A41" t="s">
        <v>257</v>
      </c>
      <c r="G41" s="1"/>
      <c r="H41" s="1"/>
      <c r="AD41" s="166"/>
      <c r="AE41" s="166"/>
    </row>
    <row r="42" spans="1:31">
      <c r="A42" t="s">
        <v>258</v>
      </c>
      <c r="AD42" s="166"/>
      <c r="AE42" s="166"/>
    </row>
    <row r="43" spans="1:31">
      <c r="A43" t="s">
        <v>259</v>
      </c>
      <c r="AD43" s="166"/>
      <c r="AE43" s="166"/>
    </row>
    <row r="44" spans="1:31">
      <c r="A44" t="s">
        <v>260</v>
      </c>
      <c r="AD44" s="166"/>
      <c r="AE44" s="166"/>
    </row>
    <row r="45" spans="1:31">
      <c r="A45" t="s">
        <v>261</v>
      </c>
      <c r="AD45" s="166"/>
      <c r="AE45" s="166"/>
    </row>
    <row r="46" spans="1:31">
      <c r="A46" t="s">
        <v>262</v>
      </c>
      <c r="AD46" s="166"/>
      <c r="AE46" s="166"/>
    </row>
    <row r="47" spans="1:31">
      <c r="A47" t="s">
        <v>263</v>
      </c>
      <c r="AD47" s="166"/>
      <c r="AE47" s="166"/>
    </row>
    <row r="48" spans="1:31">
      <c r="A48" t="s">
        <v>264</v>
      </c>
      <c r="AD48" s="166"/>
      <c r="AE48" s="166"/>
    </row>
    <row r="49" spans="1:31">
      <c r="A49" t="s">
        <v>215</v>
      </c>
      <c r="AD49" s="166"/>
      <c r="AE49" s="166"/>
    </row>
    <row r="50" spans="1:31">
      <c r="A50" t="s">
        <v>265</v>
      </c>
      <c r="AD50" s="166"/>
      <c r="AE50" s="166"/>
    </row>
    <row r="51" spans="1:31">
      <c r="A51" t="s">
        <v>266</v>
      </c>
      <c r="AD51" s="166"/>
      <c r="AE51" s="166"/>
    </row>
    <row r="52" spans="1:31">
      <c r="A52" t="s">
        <v>267</v>
      </c>
      <c r="AD52" s="166"/>
      <c r="AE52" s="166"/>
    </row>
    <row r="53" spans="1:31">
      <c r="A53" t="s">
        <v>268</v>
      </c>
      <c r="AD53" s="166"/>
      <c r="AE53" s="166"/>
    </row>
    <row r="54" spans="1:31">
      <c r="A54" t="s">
        <v>269</v>
      </c>
      <c r="AD54" s="166"/>
      <c r="AE54" s="166"/>
    </row>
    <row r="55" spans="1:31">
      <c r="AD55" s="166"/>
      <c r="AE55" s="166"/>
    </row>
    <row r="56" spans="1:31">
      <c r="AD56" s="166"/>
      <c r="AE56" s="166"/>
    </row>
    <row r="57" spans="1:31">
      <c r="AD57" s="166"/>
      <c r="AE57" s="166"/>
    </row>
    <row r="58" spans="1:31">
      <c r="AD58" s="166"/>
      <c r="AE58" s="166"/>
    </row>
    <row r="59" spans="1:31">
      <c r="AD59" s="166"/>
      <c r="AE59" s="166"/>
    </row>
    <row r="60" spans="1:31">
      <c r="AD60" s="166"/>
      <c r="AE60" s="166"/>
    </row>
    <row r="61" spans="1:31">
      <c r="AD61" s="166"/>
      <c r="AE61" s="166"/>
    </row>
    <row r="62" spans="1:31">
      <c r="AD62" s="166"/>
      <c r="AE62" s="166"/>
    </row>
    <row r="63" spans="1:31">
      <c r="AD63" s="166"/>
      <c r="AE63" s="166"/>
    </row>
    <row r="64" spans="1:31">
      <c r="AD64" s="166"/>
      <c r="AE64" s="166"/>
    </row>
    <row r="65" spans="30:31">
      <c r="AD65" s="166"/>
      <c r="AE65" s="166"/>
    </row>
    <row r="66" spans="30:31">
      <c r="AD66" s="166"/>
      <c r="AE66" s="166"/>
    </row>
    <row r="67" spans="30:31">
      <c r="AD67" s="166"/>
      <c r="AE67" s="166"/>
    </row>
    <row r="68" spans="30:31">
      <c r="AD68" s="166"/>
      <c r="AE68" s="166"/>
    </row>
    <row r="69" spans="30:31">
      <c r="AD69" s="166"/>
      <c r="AE69" s="166"/>
    </row>
    <row r="70" spans="30:31">
      <c r="AD70" s="166"/>
      <c r="AE70" s="166"/>
    </row>
    <row r="71" spans="30:31">
      <c r="AD71" s="166"/>
      <c r="AE71" s="166"/>
    </row>
    <row r="72" spans="30:31">
      <c r="AD72" s="166"/>
      <c r="AE72" s="166"/>
    </row>
    <row r="73" spans="30:31">
      <c r="AD73" s="166"/>
      <c r="AE73" s="166"/>
    </row>
    <row r="74" spans="30:31">
      <c r="AD74" s="166"/>
      <c r="AE74" s="166"/>
    </row>
    <row r="75" spans="30:31">
      <c r="AD75" s="166"/>
      <c r="AE75" s="166"/>
    </row>
    <row r="76" spans="30:31">
      <c r="AD76" s="166"/>
      <c r="AE76" s="166"/>
    </row>
    <row r="77" spans="30:31">
      <c r="AD77" s="166"/>
      <c r="AE77" s="166"/>
    </row>
    <row r="78" spans="30:31">
      <c r="AD78" s="166"/>
      <c r="AE78" s="166"/>
    </row>
    <row r="79" spans="30:31">
      <c r="AD79" s="166"/>
      <c r="AE79" s="166"/>
    </row>
    <row r="80" spans="30:31">
      <c r="AD80" s="166"/>
      <c r="AE80" s="166"/>
    </row>
    <row r="81" spans="30:31">
      <c r="AD81" s="166"/>
      <c r="AE81" s="166"/>
    </row>
    <row r="82" spans="30:31">
      <c r="AD82" s="166"/>
      <c r="AE82" s="166"/>
    </row>
    <row r="83" spans="30:31">
      <c r="AD83" s="166"/>
      <c r="AE83" s="166"/>
    </row>
    <row r="84" spans="30:31">
      <c r="AD84" s="166"/>
      <c r="AE84" s="166"/>
    </row>
    <row r="85" spans="30:31">
      <c r="AD85" s="166"/>
      <c r="AE85" s="166"/>
    </row>
    <row r="86" spans="30:31">
      <c r="AD86" s="166"/>
      <c r="AE86" s="166"/>
    </row>
    <row r="87" spans="30:31">
      <c r="AD87" s="166"/>
      <c r="AE87" s="166"/>
    </row>
    <row r="88" spans="30:31">
      <c r="AD88" s="166"/>
      <c r="AE88" s="166"/>
    </row>
    <row r="89" spans="30:31">
      <c r="AD89" s="166"/>
      <c r="AE89" s="166"/>
    </row>
    <row r="90" spans="30:31">
      <c r="AD90" s="166"/>
      <c r="AE90" s="166"/>
    </row>
    <row r="91" spans="30:31">
      <c r="AD91" s="166"/>
      <c r="AE91" s="166"/>
    </row>
    <row r="92" spans="30:31">
      <c r="AD92" s="166"/>
      <c r="AE92" s="166"/>
    </row>
    <row r="93" spans="30:31">
      <c r="AD93" s="166"/>
      <c r="AE93" s="166"/>
    </row>
    <row r="94" spans="30:31">
      <c r="AD94" s="166"/>
      <c r="AE94" s="166"/>
    </row>
    <row r="95" spans="30:31">
      <c r="AD95" s="166"/>
      <c r="AE95" s="166"/>
    </row>
    <row r="96" spans="30:31">
      <c r="AD96" s="166"/>
      <c r="AE96" s="166"/>
    </row>
    <row r="97" spans="30:31">
      <c r="AD97" s="166"/>
      <c r="AE97" s="166"/>
    </row>
    <row r="98" spans="30:31">
      <c r="AD98" s="166"/>
      <c r="AE98" s="166"/>
    </row>
    <row r="99" spans="30:31">
      <c r="AD99" s="166"/>
      <c r="AE99" s="166"/>
    </row>
    <row r="100" spans="30:31">
      <c r="AD100" s="166"/>
      <c r="AE100" s="166"/>
    </row>
    <row r="101" spans="30:31">
      <c r="AD101" s="166"/>
      <c r="AE101" s="166"/>
    </row>
    <row r="102" spans="30:31">
      <c r="AD102" s="166"/>
      <c r="AE102" s="166"/>
    </row>
    <row r="103" spans="30:31">
      <c r="AD103" s="166"/>
      <c r="AE103" s="166"/>
    </row>
    <row r="104" spans="30:31">
      <c r="AD104" s="166"/>
      <c r="AE104" s="166"/>
    </row>
    <row r="105" spans="30:31">
      <c r="AD105" s="166"/>
      <c r="AE105" s="166"/>
    </row>
    <row r="106" spans="30:31">
      <c r="AD106" s="166"/>
      <c r="AE106" s="166"/>
    </row>
    <row r="107" spans="30:31">
      <c r="AD107" s="166"/>
      <c r="AE107" s="166"/>
    </row>
    <row r="108" spans="30:31">
      <c r="AD108" s="166"/>
      <c r="AE108" s="166"/>
    </row>
    <row r="109" spans="30:31">
      <c r="AD109" s="166"/>
      <c r="AE109" s="166"/>
    </row>
    <row r="110" spans="30:31">
      <c r="AD110" s="166"/>
      <c r="AE110" s="166"/>
    </row>
    <row r="111" spans="30:31">
      <c r="AD111" s="166"/>
      <c r="AE111" s="166"/>
    </row>
    <row r="112" spans="30:31">
      <c r="AD112" s="166"/>
      <c r="AE112" s="166"/>
    </row>
    <row r="113" spans="30:31">
      <c r="AD113" s="166"/>
      <c r="AE113" s="166"/>
    </row>
    <row r="114" spans="30:31">
      <c r="AD114" s="166"/>
      <c r="AE114" s="166"/>
    </row>
    <row r="115" spans="30:31">
      <c r="AD115" s="166"/>
      <c r="AE115" s="166"/>
    </row>
    <row r="116" spans="30:31">
      <c r="AD116" s="166"/>
      <c r="AE116" s="166"/>
    </row>
    <row r="117" spans="30:31">
      <c r="AD117" s="166"/>
      <c r="AE117" s="166"/>
    </row>
    <row r="118" spans="30:31">
      <c r="AD118" s="166"/>
      <c r="AE118" s="166"/>
    </row>
    <row r="119" spans="30:31">
      <c r="AD119" s="166"/>
      <c r="AE119" s="166"/>
    </row>
    <row r="120" spans="30:31">
      <c r="AD120" s="166"/>
      <c r="AE120" s="166"/>
    </row>
    <row r="121" spans="30:31">
      <c r="AD121" s="166"/>
      <c r="AE121" s="166"/>
    </row>
    <row r="122" spans="30:31">
      <c r="AD122" s="166"/>
      <c r="AE122" s="166"/>
    </row>
    <row r="123" spans="30:31">
      <c r="AD123" s="166"/>
      <c r="AE123" s="166"/>
    </row>
    <row r="124" spans="30:31">
      <c r="AD124" s="166"/>
      <c r="AE124" s="166"/>
    </row>
    <row r="125" spans="30:31">
      <c r="AD125" s="166"/>
      <c r="AE125" s="166"/>
    </row>
    <row r="126" spans="30:31">
      <c r="AD126" s="166"/>
      <c r="AE126" s="166"/>
    </row>
    <row r="127" spans="30:31">
      <c r="AD127" s="166"/>
      <c r="AE127" s="166"/>
    </row>
    <row r="128" spans="30:31">
      <c r="AD128" s="166"/>
      <c r="AE128" s="166"/>
    </row>
    <row r="129" spans="30:31">
      <c r="AD129" s="166"/>
      <c r="AE129" s="166"/>
    </row>
    <row r="130" spans="30:31">
      <c r="AD130" s="166"/>
      <c r="AE130" s="166"/>
    </row>
    <row r="131" spans="30:31">
      <c r="AD131" s="166"/>
      <c r="AE131" s="166"/>
    </row>
    <row r="132" spans="30:31">
      <c r="AD132" s="166"/>
      <c r="AE132" s="166"/>
    </row>
    <row r="133" spans="30:31">
      <c r="AD133" s="166"/>
      <c r="AE133" s="166"/>
    </row>
    <row r="134" spans="30:31">
      <c r="AD134" s="166"/>
      <c r="AE134" s="166"/>
    </row>
    <row r="135" spans="30:31">
      <c r="AD135" s="166"/>
      <c r="AE135" s="166"/>
    </row>
    <row r="136" spans="30:31">
      <c r="AD136" s="166"/>
      <c r="AE136" s="166"/>
    </row>
    <row r="137" spans="30:31">
      <c r="AD137" s="166"/>
      <c r="AE137" s="166"/>
    </row>
    <row r="138" spans="30:31">
      <c r="AD138" s="166"/>
      <c r="AE138" s="166"/>
    </row>
    <row r="139" spans="30:31">
      <c r="AD139" s="166"/>
      <c r="AE139" s="166"/>
    </row>
    <row r="140" spans="30:31">
      <c r="AD140" s="166"/>
      <c r="AE140" s="166"/>
    </row>
    <row r="141" spans="30:31">
      <c r="AD141" s="166"/>
      <c r="AE141" s="166"/>
    </row>
    <row r="142" spans="30:31">
      <c r="AD142" s="166"/>
      <c r="AE142" s="166"/>
    </row>
    <row r="143" spans="30:31">
      <c r="AD143" s="166"/>
      <c r="AE143" s="166"/>
    </row>
    <row r="144" spans="30:31">
      <c r="AD144" s="166"/>
      <c r="AE144" s="166"/>
    </row>
    <row r="145" spans="30:31">
      <c r="AD145" s="166"/>
      <c r="AE145" s="166"/>
    </row>
    <row r="146" spans="30:31">
      <c r="AD146" s="166"/>
      <c r="AE146" s="166"/>
    </row>
    <row r="147" spans="30:31">
      <c r="AD147" s="166"/>
      <c r="AE147" s="166"/>
    </row>
    <row r="148" spans="30:31">
      <c r="AD148" s="166"/>
      <c r="AE148" s="166"/>
    </row>
    <row r="149" spans="30:31">
      <c r="AD149" s="166"/>
      <c r="AE149" s="166"/>
    </row>
    <row r="150" spans="30:31">
      <c r="AD150" s="166"/>
      <c r="AE150" s="166"/>
    </row>
    <row r="151" spans="30:31">
      <c r="AD151" s="166"/>
      <c r="AE151" s="166"/>
    </row>
    <row r="152" spans="30:31">
      <c r="AD152" s="166"/>
      <c r="AE152" s="166"/>
    </row>
    <row r="153" spans="30:31">
      <c r="AD153" s="166"/>
      <c r="AE153" s="166"/>
    </row>
    <row r="154" spans="30:31">
      <c r="AD154" s="166"/>
      <c r="AE154" s="166"/>
    </row>
    <row r="155" spans="30:31">
      <c r="AD155" s="166"/>
      <c r="AE155" s="166"/>
    </row>
    <row r="156" spans="30:31">
      <c r="AD156" s="166"/>
      <c r="AE156" s="166"/>
    </row>
    <row r="157" spans="30:31">
      <c r="AD157" s="166"/>
      <c r="AE157" s="166"/>
    </row>
    <row r="158" spans="30:31">
      <c r="AD158" s="166"/>
      <c r="AE158" s="166"/>
    </row>
    <row r="159" spans="30:31">
      <c r="AD159" s="166"/>
      <c r="AE159" s="166"/>
    </row>
    <row r="160" spans="30:31">
      <c r="AD160" s="166"/>
      <c r="AE160" s="166"/>
    </row>
    <row r="161" spans="30:31">
      <c r="AD161" s="166"/>
      <c r="AE161" s="166"/>
    </row>
    <row r="162" spans="30:31">
      <c r="AD162" s="166"/>
      <c r="AE162" s="166"/>
    </row>
    <row r="163" spans="30:31">
      <c r="AD163" s="166"/>
      <c r="AE163" s="166"/>
    </row>
    <row r="164" spans="30:31">
      <c r="AD164" s="166"/>
      <c r="AE164" s="166"/>
    </row>
    <row r="165" spans="30:31">
      <c r="AD165" s="166"/>
      <c r="AE165" s="166"/>
    </row>
    <row r="166" spans="30:31">
      <c r="AD166" s="166"/>
      <c r="AE166" s="166"/>
    </row>
    <row r="167" spans="30:31">
      <c r="AD167" s="166"/>
      <c r="AE167" s="166"/>
    </row>
    <row r="168" spans="30:31">
      <c r="AD168" s="166"/>
      <c r="AE168" s="166"/>
    </row>
    <row r="169" spans="30:31">
      <c r="AD169" s="166"/>
      <c r="AE169" s="166"/>
    </row>
    <row r="170" spans="30:31">
      <c r="AD170" s="166"/>
      <c r="AE170" s="166"/>
    </row>
    <row r="171" spans="30:31">
      <c r="AD171" s="166"/>
      <c r="AE171" s="166"/>
    </row>
    <row r="172" spans="30:31">
      <c r="AD172" s="166"/>
      <c r="AE172" s="166"/>
    </row>
    <row r="173" spans="30:31">
      <c r="AD173" s="166"/>
      <c r="AE173" s="166"/>
    </row>
    <row r="174" spans="30:31">
      <c r="AD174" s="166"/>
      <c r="AE174" s="166"/>
    </row>
    <row r="175" spans="30:31">
      <c r="AD175" s="166"/>
      <c r="AE175" s="166"/>
    </row>
    <row r="176" spans="30:31">
      <c r="AD176" s="166"/>
      <c r="AE176" s="166"/>
    </row>
    <row r="177" spans="30:31">
      <c r="AD177" s="166"/>
      <c r="AE177" s="166"/>
    </row>
    <row r="178" spans="30:31">
      <c r="AD178" s="166"/>
      <c r="AE178" s="166"/>
    </row>
    <row r="179" spans="30:31">
      <c r="AD179" s="166"/>
      <c r="AE179" s="166"/>
    </row>
    <row r="180" spans="30:31">
      <c r="AD180" s="166"/>
      <c r="AE180" s="166"/>
    </row>
    <row r="181" spans="30:31">
      <c r="AD181" s="166"/>
      <c r="AE181" s="166"/>
    </row>
    <row r="182" spans="30:31">
      <c r="AD182" s="166"/>
      <c r="AE182" s="166"/>
    </row>
    <row r="183" spans="30:31">
      <c r="AD183" s="166"/>
      <c r="AE183" s="166"/>
    </row>
    <row r="184" spans="30:31">
      <c r="AD184" s="166"/>
      <c r="AE184" s="166"/>
    </row>
    <row r="185" spans="30:31">
      <c r="AD185" s="166"/>
      <c r="AE185" s="166"/>
    </row>
    <row r="186" spans="30:31">
      <c r="AD186" s="166"/>
      <c r="AE186" s="166"/>
    </row>
    <row r="187" spans="30:31">
      <c r="AD187" s="166"/>
      <c r="AE187" s="166"/>
    </row>
    <row r="188" spans="30:31">
      <c r="AD188" s="166"/>
      <c r="AE188" s="166"/>
    </row>
    <row r="189" spans="30:31">
      <c r="AD189" s="166"/>
      <c r="AE189" s="166"/>
    </row>
    <row r="190" spans="30:31">
      <c r="AD190" s="166"/>
      <c r="AE190" s="166"/>
    </row>
    <row r="191" spans="30:31">
      <c r="AD191" s="166"/>
      <c r="AE191" s="166"/>
    </row>
    <row r="192" spans="30:31">
      <c r="AD192" s="166"/>
      <c r="AE192" s="166"/>
    </row>
    <row r="193" spans="30:31">
      <c r="AD193" s="166"/>
      <c r="AE193" s="166"/>
    </row>
    <row r="194" spans="30:31">
      <c r="AD194" s="166"/>
      <c r="AE194" s="166"/>
    </row>
    <row r="195" spans="30:31">
      <c r="AD195" s="166"/>
      <c r="AE195" s="166"/>
    </row>
    <row r="196" spans="30:31">
      <c r="AD196" s="166"/>
      <c r="AE196" s="166"/>
    </row>
    <row r="197" spans="30:31">
      <c r="AD197" s="166"/>
      <c r="AE197" s="166"/>
    </row>
    <row r="198" spans="30:31">
      <c r="AD198" s="166"/>
      <c r="AE198" s="166"/>
    </row>
    <row r="199" spans="30:31">
      <c r="AD199" s="166"/>
      <c r="AE199" s="166"/>
    </row>
    <row r="200" spans="30:31">
      <c r="AD200" s="166"/>
      <c r="AE200" s="166"/>
    </row>
    <row r="201" spans="30:31">
      <c r="AD201" s="166"/>
      <c r="AE201" s="166"/>
    </row>
    <row r="202" spans="30:31">
      <c r="AD202" s="166"/>
      <c r="AE202" s="166"/>
    </row>
    <row r="203" spans="30:31">
      <c r="AD203" s="166"/>
      <c r="AE203" s="166"/>
    </row>
    <row r="204" spans="30:31">
      <c r="AD204" s="166"/>
      <c r="AE204" s="166"/>
    </row>
    <row r="205" spans="30:31">
      <c r="AD205" s="166"/>
      <c r="AE205" s="166"/>
    </row>
    <row r="206" spans="30:31">
      <c r="AD206" s="166"/>
      <c r="AE206" s="166"/>
    </row>
    <row r="207" spans="30:31">
      <c r="AD207" s="166"/>
      <c r="AE207" s="166"/>
    </row>
    <row r="208" spans="30:31">
      <c r="AD208" s="166"/>
      <c r="AE208" s="166"/>
    </row>
    <row r="209" spans="30:31">
      <c r="AD209" s="166"/>
      <c r="AE209" s="166"/>
    </row>
    <row r="210" spans="30:31">
      <c r="AD210" s="166"/>
      <c r="AE210" s="166"/>
    </row>
    <row r="211" spans="30:31">
      <c r="AD211" s="166"/>
      <c r="AE211" s="166"/>
    </row>
    <row r="212" spans="30:31">
      <c r="AD212" s="166"/>
      <c r="AE212" s="166"/>
    </row>
    <row r="213" spans="30:31">
      <c r="AD213" s="166"/>
      <c r="AE213" s="166"/>
    </row>
    <row r="214" spans="30:31">
      <c r="AD214" s="166"/>
      <c r="AE214" s="166"/>
    </row>
    <row r="215" spans="30:31">
      <c r="AD215" s="166"/>
      <c r="AE215" s="166"/>
    </row>
    <row r="216" spans="30:31">
      <c r="AD216" s="166"/>
      <c r="AE216" s="166"/>
    </row>
    <row r="217" spans="30:31">
      <c r="AD217" s="166"/>
      <c r="AE217" s="166"/>
    </row>
    <row r="218" spans="30:31">
      <c r="AD218" s="166"/>
      <c r="AE218" s="166"/>
    </row>
    <row r="219" spans="30:31">
      <c r="AD219" s="166"/>
      <c r="AE219" s="166"/>
    </row>
    <row r="220" spans="30:31">
      <c r="AD220" s="166"/>
      <c r="AE220" s="166"/>
    </row>
    <row r="221" spans="30:31">
      <c r="AD221" s="166"/>
      <c r="AE221" s="166"/>
    </row>
    <row r="222" spans="30:31">
      <c r="AD222" s="166"/>
      <c r="AE222" s="166"/>
    </row>
    <row r="223" spans="30:31">
      <c r="AD223" s="166"/>
      <c r="AE223" s="166"/>
    </row>
    <row r="224" spans="30:31">
      <c r="AD224" s="166"/>
      <c r="AE224" s="166"/>
    </row>
    <row r="225" spans="30:31">
      <c r="AD225" s="166"/>
      <c r="AE225" s="166"/>
    </row>
    <row r="226" spans="30:31">
      <c r="AD226" s="166"/>
      <c r="AE226" s="166"/>
    </row>
    <row r="227" spans="30:31">
      <c r="AD227" s="166"/>
      <c r="AE227" s="166"/>
    </row>
    <row r="228" spans="30:31">
      <c r="AD228" s="166"/>
      <c r="AE228" s="166"/>
    </row>
    <row r="229" spans="30:31">
      <c r="AD229" s="166"/>
      <c r="AE229" s="166"/>
    </row>
    <row r="230" spans="30:31">
      <c r="AD230" s="166"/>
      <c r="AE230" s="166"/>
    </row>
    <row r="231" spans="30:31">
      <c r="AD231" s="166"/>
      <c r="AE231" s="166"/>
    </row>
    <row r="232" spans="30:31">
      <c r="AD232" s="166"/>
      <c r="AE232" s="166"/>
    </row>
    <row r="233" spans="30:31">
      <c r="AD233" s="166"/>
      <c r="AE233" s="166"/>
    </row>
    <row r="234" spans="30:31">
      <c r="AD234" s="166"/>
      <c r="AE234" s="166"/>
    </row>
    <row r="235" spans="30:31">
      <c r="AD235" s="166"/>
      <c r="AE235" s="166"/>
    </row>
    <row r="236" spans="30:31">
      <c r="AD236" s="166"/>
      <c r="AE236" s="166"/>
    </row>
    <row r="237" spans="30:31">
      <c r="AD237" s="166"/>
      <c r="AE237" s="166"/>
    </row>
    <row r="238" spans="30:31">
      <c r="AD238" s="166"/>
      <c r="AE238" s="166"/>
    </row>
    <row r="239" spans="30:31">
      <c r="AD239" s="166"/>
      <c r="AE239" s="166"/>
    </row>
    <row r="240" spans="30:31">
      <c r="AD240" s="166"/>
      <c r="AE240" s="166"/>
    </row>
    <row r="241" spans="30:31">
      <c r="AD241" s="166"/>
      <c r="AE241" s="166"/>
    </row>
    <row r="242" spans="30:31">
      <c r="AD242" s="166"/>
      <c r="AE242" s="166"/>
    </row>
    <row r="243" spans="30:31">
      <c r="AD243" s="166"/>
      <c r="AE243" s="166"/>
    </row>
    <row r="244" spans="30:31">
      <c r="AD244" s="166"/>
      <c r="AE244" s="166"/>
    </row>
    <row r="245" spans="30:31">
      <c r="AD245" s="166"/>
      <c r="AE245" s="166"/>
    </row>
    <row r="246" spans="30:31">
      <c r="AD246" s="166"/>
      <c r="AE246" s="166"/>
    </row>
    <row r="247" spans="30:31">
      <c r="AD247" s="166"/>
      <c r="AE247" s="166"/>
    </row>
    <row r="248" spans="30:31">
      <c r="AD248" s="166"/>
      <c r="AE248" s="166"/>
    </row>
    <row r="249" spans="30:31">
      <c r="AD249" s="166"/>
      <c r="AE249" s="166"/>
    </row>
    <row r="250" spans="30:31">
      <c r="AD250" s="166"/>
      <c r="AE250" s="166"/>
    </row>
    <row r="251" spans="30:31">
      <c r="AD251" s="166"/>
      <c r="AE251" s="166"/>
    </row>
    <row r="252" spans="30:31">
      <c r="AD252" s="166"/>
      <c r="AE252" s="166"/>
    </row>
    <row r="253" spans="30:31">
      <c r="AD253" s="166"/>
      <c r="AE253" s="166"/>
    </row>
    <row r="254" spans="30:31">
      <c r="AD254" s="166"/>
      <c r="AE254" s="166"/>
    </row>
    <row r="255" spans="30:31">
      <c r="AD255" s="166"/>
      <c r="AE255" s="166"/>
    </row>
    <row r="256" spans="30:31">
      <c r="AD256" s="166"/>
      <c r="AE256" s="166"/>
    </row>
    <row r="257" spans="30:31">
      <c r="AD257" s="166"/>
      <c r="AE257" s="166"/>
    </row>
    <row r="258" spans="30:31">
      <c r="AD258" s="166"/>
      <c r="AE258" s="166"/>
    </row>
    <row r="259" spans="30:31">
      <c r="AD259" s="166"/>
      <c r="AE259" s="166"/>
    </row>
    <row r="260" spans="30:31">
      <c r="AD260" s="166"/>
      <c r="AE260" s="166"/>
    </row>
    <row r="261" spans="30:31">
      <c r="AD261" s="166"/>
      <c r="AE261" s="166"/>
    </row>
    <row r="262" spans="30:31">
      <c r="AD262" s="166"/>
      <c r="AE262" s="166"/>
    </row>
    <row r="263" spans="30:31">
      <c r="AD263" s="166"/>
      <c r="AE263" s="166"/>
    </row>
    <row r="264" spans="30:31">
      <c r="AD264" s="166"/>
      <c r="AE264" s="166"/>
    </row>
    <row r="265" spans="30:31">
      <c r="AD265" s="166"/>
      <c r="AE265" s="166"/>
    </row>
    <row r="266" spans="30:31">
      <c r="AD266" s="166"/>
      <c r="AE266" s="166"/>
    </row>
    <row r="267" spans="30:31">
      <c r="AD267" s="166"/>
      <c r="AE267" s="166"/>
    </row>
    <row r="268" spans="30:31">
      <c r="AD268" s="166"/>
      <c r="AE268" s="166"/>
    </row>
    <row r="269" spans="30:31">
      <c r="AD269" s="166"/>
      <c r="AE269" s="166"/>
    </row>
    <row r="270" spans="30:31">
      <c r="AD270" s="166"/>
      <c r="AE270" s="166"/>
    </row>
    <row r="271" spans="30:31">
      <c r="AD271" s="166"/>
      <c r="AE271" s="166"/>
    </row>
    <row r="272" spans="30:31">
      <c r="AD272" s="166"/>
      <c r="AE272" s="166"/>
    </row>
    <row r="273" spans="30:31">
      <c r="AD273" s="166"/>
      <c r="AE273" s="166"/>
    </row>
    <row r="274" spans="30:31">
      <c r="AD274" s="166"/>
      <c r="AE274" s="166"/>
    </row>
    <row r="275" spans="30:31">
      <c r="AD275" s="166"/>
      <c r="AE275" s="166"/>
    </row>
    <row r="276" spans="30:31">
      <c r="AD276" s="166"/>
      <c r="AE276" s="166"/>
    </row>
    <row r="277" spans="30:31">
      <c r="AD277" s="166"/>
      <c r="AE277" s="166"/>
    </row>
    <row r="278" spans="30:31">
      <c r="AD278" s="166"/>
      <c r="AE278" s="166"/>
    </row>
    <row r="279" spans="30:31">
      <c r="AD279" s="166"/>
      <c r="AE279" s="166"/>
    </row>
    <row r="280" spans="30:31">
      <c r="AD280" s="166"/>
      <c r="AE280" s="166"/>
    </row>
    <row r="281" spans="30:31">
      <c r="AD281" s="166"/>
      <c r="AE281" s="166"/>
    </row>
    <row r="282" spans="30:31">
      <c r="AD282" s="166"/>
      <c r="AE282" s="166"/>
    </row>
    <row r="283" spans="30:31">
      <c r="AD283" s="166"/>
      <c r="AE283" s="166"/>
    </row>
    <row r="284" spans="30:31">
      <c r="AD284" s="166"/>
      <c r="AE284" s="166"/>
    </row>
    <row r="285" spans="30:31">
      <c r="AD285" s="166"/>
      <c r="AE285" s="166"/>
    </row>
    <row r="286" spans="30:31">
      <c r="AD286" s="166"/>
      <c r="AE286" s="166"/>
    </row>
    <row r="287" spans="30:31">
      <c r="AD287" s="166"/>
      <c r="AE287" s="166"/>
    </row>
    <row r="288" spans="30:31">
      <c r="AD288" s="166"/>
      <c r="AE288" s="166"/>
    </row>
    <row r="289" spans="30:31">
      <c r="AD289" s="166"/>
      <c r="AE289" s="166"/>
    </row>
    <row r="290" spans="30:31">
      <c r="AD290" s="166"/>
      <c r="AE290" s="166"/>
    </row>
    <row r="291" spans="30:31">
      <c r="AD291" s="166"/>
      <c r="AE291" s="166"/>
    </row>
    <row r="292" spans="30:31">
      <c r="AD292" s="166"/>
      <c r="AE292" s="166"/>
    </row>
    <row r="293" spans="30:31">
      <c r="AD293" s="166"/>
      <c r="AE293" s="166"/>
    </row>
    <row r="294" spans="30:31">
      <c r="AD294" s="166"/>
      <c r="AE294" s="166"/>
    </row>
    <row r="295" spans="30:31">
      <c r="AD295" s="166"/>
      <c r="AE295" s="166"/>
    </row>
    <row r="296" spans="30:31">
      <c r="AD296" s="166"/>
      <c r="AE296" s="166"/>
    </row>
    <row r="297" spans="30:31">
      <c r="AD297" s="166"/>
      <c r="AE297" s="166"/>
    </row>
    <row r="298" spans="30:31">
      <c r="AD298" s="166"/>
      <c r="AE298" s="166"/>
    </row>
    <row r="299" spans="30:31">
      <c r="AD299" s="166"/>
      <c r="AE299" s="166"/>
    </row>
    <row r="300" spans="30:31">
      <c r="AD300" s="166"/>
      <c r="AE300" s="166"/>
    </row>
    <row r="301" spans="30:31">
      <c r="AD301" s="166"/>
      <c r="AE301" s="166"/>
    </row>
    <row r="302" spans="30:31">
      <c r="AD302" s="166"/>
      <c r="AE302" s="166"/>
    </row>
    <row r="303" spans="30:31">
      <c r="AD303" s="166"/>
      <c r="AE303" s="166"/>
    </row>
    <row r="304" spans="30:31">
      <c r="AD304" s="166"/>
      <c r="AE304" s="166"/>
    </row>
    <row r="305" spans="30:31">
      <c r="AD305" s="166"/>
      <c r="AE305" s="166"/>
    </row>
    <row r="306" spans="30:31">
      <c r="AD306" s="166"/>
      <c r="AE306" s="166"/>
    </row>
    <row r="307" spans="30:31">
      <c r="AD307" s="166"/>
      <c r="AE307" s="166"/>
    </row>
    <row r="308" spans="30:31">
      <c r="AD308" s="166"/>
      <c r="AE308" s="166"/>
    </row>
    <row r="309" spans="30:31">
      <c r="AD309" s="166"/>
      <c r="AE309" s="166"/>
    </row>
    <row r="310" spans="30:31">
      <c r="AD310" s="166"/>
      <c r="AE310" s="166"/>
    </row>
    <row r="311" spans="30:31">
      <c r="AD311" s="166"/>
      <c r="AE311" s="166"/>
    </row>
    <row r="312" spans="30:31">
      <c r="AD312" s="166"/>
      <c r="AE312" s="166"/>
    </row>
    <row r="313" spans="30:31">
      <c r="AD313" s="166"/>
      <c r="AE313" s="166"/>
    </row>
    <row r="314" spans="30:31">
      <c r="AD314" s="166"/>
      <c r="AE314" s="166"/>
    </row>
    <row r="315" spans="30:31">
      <c r="AD315" s="166"/>
      <c r="AE315" s="166"/>
    </row>
    <row r="316" spans="30:31">
      <c r="AD316" s="166"/>
      <c r="AE316" s="166"/>
    </row>
    <row r="317" spans="30:31">
      <c r="AD317" s="166"/>
      <c r="AE317" s="166"/>
    </row>
    <row r="318" spans="30:31">
      <c r="AD318" s="166"/>
      <c r="AE318" s="166"/>
    </row>
    <row r="319" spans="30:31">
      <c r="AD319" s="166"/>
      <c r="AE319" s="166"/>
    </row>
    <row r="320" spans="30:31">
      <c r="AD320" s="166"/>
      <c r="AE320" s="166"/>
    </row>
    <row r="321" spans="30:31">
      <c r="AD321" s="166"/>
      <c r="AE321" s="166"/>
    </row>
    <row r="322" spans="30:31">
      <c r="AD322" s="166"/>
      <c r="AE322" s="166"/>
    </row>
    <row r="323" spans="30:31">
      <c r="AD323" s="166"/>
      <c r="AE323" s="166"/>
    </row>
    <row r="324" spans="30:31">
      <c r="AD324" s="166"/>
      <c r="AE324" s="166"/>
    </row>
    <row r="325" spans="30:31">
      <c r="AD325" s="166"/>
      <c r="AE325" s="166"/>
    </row>
    <row r="326" spans="30:31">
      <c r="AD326" s="166"/>
      <c r="AE326" s="166"/>
    </row>
    <row r="327" spans="30:31">
      <c r="AD327" s="166"/>
      <c r="AE327" s="166"/>
    </row>
    <row r="328" spans="30:31">
      <c r="AD328" s="166"/>
      <c r="AE328" s="166"/>
    </row>
    <row r="329" spans="30:31">
      <c r="AD329" s="166"/>
      <c r="AE329" s="166"/>
    </row>
    <row r="330" spans="30:31">
      <c r="AD330" s="166"/>
      <c r="AE330" s="166"/>
    </row>
    <row r="331" spans="30:31">
      <c r="AD331" s="166"/>
      <c r="AE331" s="166"/>
    </row>
    <row r="332" spans="30:31">
      <c r="AD332" s="166"/>
      <c r="AE332" s="166"/>
    </row>
    <row r="333" spans="30:31">
      <c r="AD333" s="166"/>
      <c r="AE333" s="166"/>
    </row>
    <row r="334" spans="30:31">
      <c r="AD334" s="166"/>
      <c r="AE334" s="166"/>
    </row>
    <row r="335" spans="30:31">
      <c r="AD335" s="166"/>
      <c r="AE335" s="166"/>
    </row>
    <row r="336" spans="30:31">
      <c r="AD336" s="166"/>
      <c r="AE336" s="166"/>
    </row>
    <row r="337" spans="30:31">
      <c r="AD337" s="166"/>
      <c r="AE337" s="166"/>
    </row>
    <row r="338" spans="30:31">
      <c r="AD338" s="166"/>
      <c r="AE338" s="166"/>
    </row>
    <row r="339" spans="30:31">
      <c r="AD339" s="166"/>
      <c r="AE339" s="166"/>
    </row>
    <row r="340" spans="30:31">
      <c r="AD340" s="166"/>
      <c r="AE340" s="166"/>
    </row>
    <row r="341" spans="30:31">
      <c r="AD341" s="166"/>
      <c r="AE341" s="166"/>
    </row>
    <row r="342" spans="30:31">
      <c r="AD342" s="166"/>
      <c r="AE342" s="166"/>
    </row>
    <row r="343" spans="30:31">
      <c r="AD343" s="166"/>
      <c r="AE343" s="166"/>
    </row>
    <row r="344" spans="30:31">
      <c r="AD344" s="166"/>
      <c r="AE344" s="166"/>
    </row>
    <row r="345" spans="30:31">
      <c r="AD345" s="166"/>
      <c r="AE345" s="166"/>
    </row>
    <row r="346" spans="30:31">
      <c r="AD346" s="166"/>
      <c r="AE346" s="166"/>
    </row>
    <row r="347" spans="30:31">
      <c r="AD347" s="166"/>
      <c r="AE347" s="166"/>
    </row>
    <row r="348" spans="30:31">
      <c r="AD348" s="166"/>
      <c r="AE348" s="166"/>
    </row>
    <row r="349" spans="30:31">
      <c r="AD349" s="166"/>
      <c r="AE349" s="166"/>
    </row>
    <row r="350" spans="30:31">
      <c r="AD350" s="166"/>
      <c r="AE350" s="166"/>
    </row>
    <row r="351" spans="30:31">
      <c r="AD351" s="166"/>
      <c r="AE351" s="166"/>
    </row>
    <row r="352" spans="30:31">
      <c r="AD352" s="166"/>
      <c r="AE352" s="166"/>
    </row>
    <row r="353" spans="30:31">
      <c r="AD353" s="166"/>
      <c r="AE353" s="166"/>
    </row>
    <row r="354" spans="30:31">
      <c r="AD354" s="166"/>
      <c r="AE354" s="166"/>
    </row>
    <row r="355" spans="30:31">
      <c r="AD355" s="166"/>
      <c r="AE355" s="166"/>
    </row>
    <row r="356" spans="30:31">
      <c r="AD356" s="166"/>
      <c r="AE356" s="166"/>
    </row>
    <row r="357" spans="30:31">
      <c r="AD357" s="166"/>
      <c r="AE357" s="166"/>
    </row>
    <row r="358" spans="30:31">
      <c r="AD358" s="166"/>
      <c r="AE358" s="166"/>
    </row>
    <row r="359" spans="30:31">
      <c r="AD359" s="166"/>
      <c r="AE359" s="166"/>
    </row>
    <row r="360" spans="30:31">
      <c r="AD360" s="166"/>
      <c r="AE360" s="166"/>
    </row>
    <row r="361" spans="30:31">
      <c r="AD361" s="166"/>
      <c r="AE361" s="166"/>
    </row>
    <row r="362" spans="30:31">
      <c r="AD362" s="166"/>
      <c r="AE362" s="166"/>
    </row>
    <row r="363" spans="30:31">
      <c r="AD363" s="166"/>
      <c r="AE363" s="166"/>
    </row>
    <row r="364" spans="30:31">
      <c r="AD364" s="166"/>
      <c r="AE364" s="166"/>
    </row>
    <row r="365" spans="30:31">
      <c r="AD365" s="166"/>
      <c r="AE365" s="166"/>
    </row>
    <row r="366" spans="30:31">
      <c r="AD366" s="166"/>
      <c r="AE366" s="166"/>
    </row>
    <row r="367" spans="30:31">
      <c r="AD367" s="166"/>
      <c r="AE367" s="166"/>
    </row>
    <row r="368" spans="30:31">
      <c r="AD368" s="166"/>
      <c r="AE368" s="166"/>
    </row>
    <row r="369" spans="30:31">
      <c r="AD369" s="166"/>
      <c r="AE369" s="166"/>
    </row>
    <row r="370" spans="30:31">
      <c r="AD370" s="166"/>
      <c r="AE370" s="166"/>
    </row>
    <row r="371" spans="30:31">
      <c r="AD371" s="166"/>
      <c r="AE371" s="166"/>
    </row>
    <row r="372" spans="30:31">
      <c r="AD372" s="166"/>
      <c r="AE372" s="166"/>
    </row>
    <row r="373" spans="30:31">
      <c r="AD373" s="166"/>
      <c r="AE373" s="166"/>
    </row>
    <row r="374" spans="30:31">
      <c r="AD374" s="166"/>
      <c r="AE374" s="166"/>
    </row>
    <row r="375" spans="30:31">
      <c r="AD375" s="166"/>
      <c r="AE375" s="166"/>
    </row>
    <row r="376" spans="30:31">
      <c r="AD376" s="166"/>
      <c r="AE376" s="166"/>
    </row>
    <row r="377" spans="30:31">
      <c r="AD377" s="166"/>
      <c r="AE377" s="166"/>
    </row>
    <row r="378" spans="30:31">
      <c r="AD378" s="166"/>
      <c r="AE378" s="166"/>
    </row>
    <row r="379" spans="30:31">
      <c r="AD379" s="166"/>
      <c r="AE379" s="166"/>
    </row>
    <row r="380" spans="30:31">
      <c r="AD380" s="166"/>
      <c r="AE380" s="166"/>
    </row>
    <row r="381" spans="30:31">
      <c r="AD381" s="166"/>
      <c r="AE381" s="166"/>
    </row>
    <row r="382" spans="30:31">
      <c r="AD382" s="166"/>
      <c r="AE382" s="166"/>
    </row>
    <row r="383" spans="30:31">
      <c r="AD383" s="166"/>
      <c r="AE383" s="166"/>
    </row>
    <row r="384" spans="30:31">
      <c r="AD384" s="166"/>
      <c r="AE384" s="166"/>
    </row>
    <row r="385" spans="30:31">
      <c r="AD385" s="166"/>
      <c r="AE385" s="166"/>
    </row>
    <row r="386" spans="30:31">
      <c r="AD386" s="166"/>
      <c r="AE386" s="166"/>
    </row>
    <row r="387" spans="30:31">
      <c r="AD387" s="166"/>
      <c r="AE387" s="166"/>
    </row>
    <row r="388" spans="30:31">
      <c r="AD388" s="166"/>
      <c r="AE388" s="166"/>
    </row>
    <row r="389" spans="30:31">
      <c r="AD389" s="166"/>
      <c r="AE389" s="166"/>
    </row>
    <row r="390" spans="30:31">
      <c r="AD390" s="166"/>
      <c r="AE390" s="166"/>
    </row>
    <row r="391" spans="30:31">
      <c r="AD391" s="166"/>
      <c r="AE391" s="166"/>
    </row>
    <row r="392" spans="30:31">
      <c r="AD392" s="166"/>
      <c r="AE392" s="166"/>
    </row>
    <row r="393" spans="30:31">
      <c r="AD393" s="166"/>
      <c r="AE393" s="166"/>
    </row>
    <row r="394" spans="30:31">
      <c r="AD394" s="166"/>
      <c r="AE394" s="166"/>
    </row>
    <row r="395" spans="30:31">
      <c r="AD395" s="166"/>
      <c r="AE395" s="166"/>
    </row>
    <row r="396" spans="30:31">
      <c r="AD396" s="166"/>
      <c r="AE396" s="166"/>
    </row>
    <row r="397" spans="30:31">
      <c r="AD397" s="166"/>
      <c r="AE397" s="166"/>
    </row>
    <row r="398" spans="30:31">
      <c r="AD398" s="166"/>
      <c r="AE398" s="166"/>
    </row>
    <row r="399" spans="30:31">
      <c r="AD399" s="166"/>
      <c r="AE399" s="166"/>
    </row>
    <row r="400" spans="30:31">
      <c r="AD400" s="166"/>
      <c r="AE400" s="166"/>
    </row>
    <row r="401" spans="30:31">
      <c r="AD401" s="166"/>
      <c r="AE401" s="166"/>
    </row>
    <row r="402" spans="30:31">
      <c r="AD402" s="166"/>
      <c r="AE402" s="166"/>
    </row>
    <row r="403" spans="30:31">
      <c r="AD403" s="166"/>
      <c r="AE403" s="166"/>
    </row>
    <row r="404" spans="30:31">
      <c r="AD404" s="166"/>
      <c r="AE404" s="166"/>
    </row>
    <row r="405" spans="30:31">
      <c r="AD405" s="166"/>
      <c r="AE405" s="166"/>
    </row>
    <row r="406" spans="30:31">
      <c r="AD406" s="166"/>
      <c r="AE406" s="166"/>
    </row>
    <row r="407" spans="30:31">
      <c r="AD407" s="166"/>
      <c r="AE407" s="166"/>
    </row>
    <row r="408" spans="30:31">
      <c r="AD408" s="166"/>
      <c r="AE408" s="166"/>
    </row>
    <row r="409" spans="30:31">
      <c r="AD409" s="166"/>
      <c r="AE409" s="166"/>
    </row>
    <row r="410" spans="30:31">
      <c r="AD410" s="166"/>
      <c r="AE410" s="166"/>
    </row>
    <row r="411" spans="30:31">
      <c r="AD411" s="166"/>
      <c r="AE411" s="166"/>
    </row>
    <row r="412" spans="30:31">
      <c r="AD412" s="166"/>
      <c r="AE412" s="166"/>
    </row>
    <row r="413" spans="30:31">
      <c r="AD413" s="166"/>
      <c r="AE413" s="166"/>
    </row>
    <row r="414" spans="30:31">
      <c r="AD414" s="166"/>
      <c r="AE414" s="166"/>
    </row>
    <row r="415" spans="30:31">
      <c r="AD415" s="166"/>
      <c r="AE415" s="166"/>
    </row>
    <row r="416" spans="30:31">
      <c r="AD416" s="166"/>
      <c r="AE416" s="166"/>
    </row>
    <row r="417" spans="30:31">
      <c r="AD417" s="166"/>
      <c r="AE417" s="166"/>
    </row>
    <row r="418" spans="30:31">
      <c r="AD418" s="166"/>
      <c r="AE418" s="166"/>
    </row>
    <row r="419" spans="30:31">
      <c r="AD419" s="166"/>
      <c r="AE419" s="166"/>
    </row>
    <row r="420" spans="30:31">
      <c r="AD420" s="166"/>
      <c r="AE420" s="166"/>
    </row>
    <row r="421" spans="30:31">
      <c r="AD421" s="166"/>
      <c r="AE421" s="166"/>
    </row>
    <row r="422" spans="30:31">
      <c r="AD422" s="166"/>
      <c r="AE422" s="166"/>
    </row>
    <row r="423" spans="30:31">
      <c r="AD423" s="166"/>
      <c r="AE423" s="166"/>
    </row>
    <row r="424" spans="30:31">
      <c r="AD424" s="166"/>
      <c r="AE424" s="166"/>
    </row>
    <row r="425" spans="30:31">
      <c r="AD425" s="166"/>
      <c r="AE425" s="166"/>
    </row>
    <row r="426" spans="30:31">
      <c r="AD426" s="166"/>
      <c r="AE426" s="166"/>
    </row>
    <row r="427" spans="30:31">
      <c r="AD427" s="166"/>
      <c r="AE427" s="166"/>
    </row>
    <row r="428" spans="30:31">
      <c r="AD428" s="166"/>
      <c r="AE428" s="166"/>
    </row>
    <row r="429" spans="30:31">
      <c r="AD429" s="166"/>
      <c r="AE429" s="166"/>
    </row>
    <row r="430" spans="30:31">
      <c r="AD430" s="166"/>
      <c r="AE430" s="166"/>
    </row>
    <row r="431" spans="30:31">
      <c r="AD431" s="166"/>
      <c r="AE431" s="166"/>
    </row>
    <row r="432" spans="30:31">
      <c r="AD432" s="166"/>
      <c r="AE432" s="166"/>
    </row>
    <row r="433" spans="30:31">
      <c r="AD433" s="166"/>
      <c r="AE433" s="166"/>
    </row>
    <row r="434" spans="30:31">
      <c r="AD434" s="166"/>
      <c r="AE434" s="166"/>
    </row>
    <row r="435" spans="30:31">
      <c r="AD435" s="166"/>
      <c r="AE435" s="166"/>
    </row>
    <row r="436" spans="30:31">
      <c r="AD436" s="166"/>
      <c r="AE436" s="166"/>
    </row>
    <row r="437" spans="30:31">
      <c r="AD437" s="166"/>
      <c r="AE437" s="166"/>
    </row>
    <row r="438" spans="30:31">
      <c r="AD438" s="166"/>
      <c r="AE438" s="166"/>
    </row>
    <row r="439" spans="30:31">
      <c r="AD439" s="166"/>
      <c r="AE439" s="166"/>
    </row>
    <row r="440" spans="30:31">
      <c r="AD440" s="166"/>
      <c r="AE440" s="166"/>
    </row>
    <row r="441" spans="30:31">
      <c r="AD441" s="166"/>
      <c r="AE441" s="166"/>
    </row>
    <row r="442" spans="30:31">
      <c r="AD442" s="166"/>
      <c r="AE442" s="166"/>
    </row>
    <row r="443" spans="30:31">
      <c r="AD443" s="166"/>
      <c r="AE443" s="166"/>
    </row>
    <row r="444" spans="30:31">
      <c r="AD444" s="166"/>
      <c r="AE444" s="166"/>
    </row>
    <row r="445" spans="30:31">
      <c r="AD445" s="166"/>
      <c r="AE445" s="166"/>
    </row>
    <row r="446" spans="30:31">
      <c r="AD446" s="166"/>
      <c r="AE446" s="166"/>
    </row>
    <row r="447" spans="30:31">
      <c r="AD447" s="166"/>
      <c r="AE447" s="166"/>
    </row>
    <row r="448" spans="30:31">
      <c r="AD448" s="166"/>
      <c r="AE448" s="166"/>
    </row>
    <row r="449" spans="30:31">
      <c r="AD449" s="166"/>
      <c r="AE449" s="166"/>
    </row>
    <row r="450" spans="30:31">
      <c r="AD450" s="166"/>
      <c r="AE450" s="166"/>
    </row>
    <row r="451" spans="30:31">
      <c r="AD451" s="166"/>
      <c r="AE451" s="166"/>
    </row>
    <row r="452" spans="30:31">
      <c r="AD452" s="166"/>
      <c r="AE452" s="166"/>
    </row>
    <row r="453" spans="30:31">
      <c r="AD453" s="166"/>
      <c r="AE453" s="166"/>
    </row>
    <row r="454" spans="30:31">
      <c r="AD454" s="166"/>
      <c r="AE454" s="166"/>
    </row>
    <row r="455" spans="30:31">
      <c r="AD455" s="166"/>
      <c r="AE455" s="166"/>
    </row>
    <row r="456" spans="30:31">
      <c r="AD456" s="166"/>
      <c r="AE456" s="166"/>
    </row>
    <row r="457" spans="30:31">
      <c r="AD457" s="166"/>
      <c r="AE457" s="166"/>
    </row>
    <row r="458" spans="30:31">
      <c r="AD458" s="166"/>
      <c r="AE458" s="166"/>
    </row>
    <row r="459" spans="30:31">
      <c r="AD459" s="166"/>
      <c r="AE459" s="166"/>
    </row>
    <row r="460" spans="30:31">
      <c r="AD460" s="166"/>
      <c r="AE460" s="166"/>
    </row>
    <row r="461" spans="30:31">
      <c r="AD461" s="166"/>
      <c r="AE461" s="166"/>
    </row>
    <row r="462" spans="30:31">
      <c r="AD462" s="166"/>
      <c r="AE462" s="166"/>
    </row>
    <row r="463" spans="30:31">
      <c r="AD463" s="166"/>
      <c r="AE463" s="166"/>
    </row>
    <row r="464" spans="30:31">
      <c r="AD464" s="166"/>
      <c r="AE464" s="166"/>
    </row>
    <row r="465" spans="30:31">
      <c r="AD465" s="166"/>
      <c r="AE465" s="166"/>
    </row>
    <row r="466" spans="30:31">
      <c r="AD466" s="166"/>
      <c r="AE466" s="166"/>
    </row>
    <row r="467" spans="30:31">
      <c r="AD467" s="166"/>
      <c r="AE467" s="166"/>
    </row>
    <row r="468" spans="30:31">
      <c r="AD468" s="166"/>
      <c r="AE468" s="166"/>
    </row>
    <row r="469" spans="30:31">
      <c r="AD469" s="166"/>
      <c r="AE469" s="166"/>
    </row>
    <row r="470" spans="30:31">
      <c r="AD470" s="166"/>
      <c r="AE470" s="166"/>
    </row>
    <row r="471" spans="30:31">
      <c r="AD471" s="166"/>
      <c r="AE471" s="166"/>
    </row>
    <row r="472" spans="30:31">
      <c r="AD472" s="166"/>
      <c r="AE472" s="166"/>
    </row>
    <row r="473" spans="30:31">
      <c r="AD473" s="166"/>
      <c r="AE473" s="166"/>
    </row>
    <row r="474" spans="30:31">
      <c r="AD474" s="166"/>
      <c r="AE474" s="166"/>
    </row>
    <row r="475" spans="30:31">
      <c r="AD475" s="166"/>
      <c r="AE475" s="166"/>
    </row>
    <row r="476" spans="30:31">
      <c r="AD476" s="166"/>
      <c r="AE476" s="166"/>
    </row>
    <row r="477" spans="30:31">
      <c r="AD477" s="166"/>
      <c r="AE477" s="166"/>
    </row>
    <row r="478" spans="30:31">
      <c r="AD478" s="166"/>
      <c r="AE478" s="166"/>
    </row>
    <row r="479" spans="30:31">
      <c r="AD479" s="166"/>
      <c r="AE479" s="166"/>
    </row>
    <row r="480" spans="30:31">
      <c r="AD480" s="166"/>
      <c r="AE480" s="166"/>
    </row>
    <row r="481" spans="30:31">
      <c r="AD481" s="166"/>
      <c r="AE481" s="166"/>
    </row>
    <row r="482" spans="30:31">
      <c r="AD482" s="166"/>
      <c r="AE482" s="166"/>
    </row>
    <row r="483" spans="30:31">
      <c r="AD483" s="166"/>
      <c r="AE483" s="166"/>
    </row>
    <row r="484" spans="30:31">
      <c r="AD484" s="166"/>
      <c r="AE484" s="166"/>
    </row>
    <row r="485" spans="30:31">
      <c r="AD485" s="166"/>
      <c r="AE485" s="166"/>
    </row>
    <row r="486" spans="30:31">
      <c r="AD486" s="166"/>
      <c r="AE486" s="166"/>
    </row>
    <row r="487" spans="30:31">
      <c r="AD487" s="166"/>
      <c r="AE487" s="166"/>
    </row>
    <row r="488" spans="30:31">
      <c r="AD488" s="166"/>
      <c r="AE488" s="166"/>
    </row>
    <row r="489" spans="30:31">
      <c r="AD489" s="166"/>
      <c r="AE489" s="166"/>
    </row>
    <row r="490" spans="30:31">
      <c r="AD490" s="166"/>
      <c r="AE490" s="166"/>
    </row>
    <row r="491" spans="30:31">
      <c r="AD491" s="166"/>
      <c r="AE491" s="166"/>
    </row>
    <row r="492" spans="30:31">
      <c r="AD492" s="166"/>
      <c r="AE492" s="166"/>
    </row>
    <row r="493" spans="30:31">
      <c r="AD493" s="166"/>
      <c r="AE493" s="166"/>
    </row>
    <row r="494" spans="30:31">
      <c r="AD494" s="166"/>
      <c r="AE494" s="166"/>
    </row>
    <row r="495" spans="30:31">
      <c r="AD495" s="166"/>
      <c r="AE495" s="166"/>
    </row>
    <row r="496" spans="30:31">
      <c r="AD496" s="166"/>
      <c r="AE496" s="166"/>
    </row>
    <row r="497" spans="30:31">
      <c r="AD497" s="166"/>
      <c r="AE497" s="166"/>
    </row>
    <row r="498" spans="30:31">
      <c r="AD498" s="166"/>
      <c r="AE498" s="166"/>
    </row>
    <row r="499" spans="30:31">
      <c r="AD499" s="166"/>
      <c r="AE499" s="166"/>
    </row>
    <row r="500" spans="30:31">
      <c r="AD500" s="166"/>
      <c r="AE500" s="166"/>
    </row>
    <row r="501" spans="30:31">
      <c r="AD501" s="166"/>
      <c r="AE501" s="166"/>
    </row>
    <row r="502" spans="30:31">
      <c r="AD502" s="166"/>
      <c r="AE502" s="166"/>
    </row>
    <row r="503" spans="30:31">
      <c r="AD503" s="166"/>
      <c r="AE503" s="166"/>
    </row>
    <row r="504" spans="30:31">
      <c r="AD504" s="166"/>
      <c r="AE504" s="166"/>
    </row>
    <row r="505" spans="30:31">
      <c r="AD505" s="166"/>
      <c r="AE505" s="166"/>
    </row>
    <row r="506" spans="30:31">
      <c r="AD506" s="166"/>
      <c r="AE506" s="166"/>
    </row>
    <row r="507" spans="30:31">
      <c r="AD507" s="166"/>
      <c r="AE507" s="166"/>
    </row>
    <row r="508" spans="30:31">
      <c r="AD508" s="166"/>
      <c r="AE508" s="166"/>
    </row>
    <row r="509" spans="30:31">
      <c r="AD509" s="166"/>
      <c r="AE509" s="166"/>
    </row>
    <row r="510" spans="30:31">
      <c r="AD510" s="166"/>
      <c r="AE510" s="166"/>
    </row>
    <row r="511" spans="30:31">
      <c r="AD511" s="166"/>
      <c r="AE511" s="166"/>
    </row>
    <row r="512" spans="30:31">
      <c r="AD512" s="166"/>
      <c r="AE512" s="166"/>
    </row>
    <row r="513" spans="30:31">
      <c r="AD513" s="166"/>
      <c r="AE513" s="166"/>
    </row>
    <row r="514" spans="30:31">
      <c r="AD514" s="166"/>
      <c r="AE514" s="166"/>
    </row>
    <row r="515" spans="30:31">
      <c r="AD515" s="166"/>
      <c r="AE515" s="166"/>
    </row>
    <row r="516" spans="30:31">
      <c r="AD516" s="166"/>
      <c r="AE516" s="166"/>
    </row>
    <row r="517" spans="30:31">
      <c r="AD517" s="166"/>
      <c r="AE517" s="166"/>
    </row>
    <row r="518" spans="30:31">
      <c r="AD518" s="166"/>
      <c r="AE518" s="166"/>
    </row>
    <row r="519" spans="30:31">
      <c r="AD519" s="166"/>
      <c r="AE519" s="166"/>
    </row>
    <row r="520" spans="30:31">
      <c r="AD520" s="166"/>
      <c r="AE520" s="166"/>
    </row>
    <row r="521" spans="30:31">
      <c r="AD521" s="166"/>
      <c r="AE521" s="166"/>
    </row>
    <row r="522" spans="30:31">
      <c r="AD522" s="166"/>
      <c r="AE522" s="166"/>
    </row>
    <row r="523" spans="30:31">
      <c r="AD523" s="166"/>
      <c r="AE523" s="166"/>
    </row>
    <row r="524" spans="30:31">
      <c r="AD524" s="166"/>
      <c r="AE524" s="166"/>
    </row>
    <row r="525" spans="30:31">
      <c r="AD525" s="166"/>
      <c r="AE525" s="166"/>
    </row>
    <row r="526" spans="30:31">
      <c r="AD526" s="166"/>
      <c r="AE526" s="166"/>
    </row>
    <row r="527" spans="30:31">
      <c r="AD527" s="166"/>
      <c r="AE527" s="166"/>
    </row>
    <row r="528" spans="30:31">
      <c r="AD528" s="166"/>
      <c r="AE528" s="166"/>
    </row>
    <row r="529" spans="30:31">
      <c r="AD529" s="166"/>
      <c r="AE529" s="166"/>
    </row>
    <row r="530" spans="30:31">
      <c r="AD530" s="166"/>
      <c r="AE530" s="166"/>
    </row>
    <row r="531" spans="30:31">
      <c r="AD531" s="166"/>
      <c r="AE531" s="166"/>
    </row>
    <row r="532" spans="30:31">
      <c r="AD532" s="166"/>
      <c r="AE532" s="166"/>
    </row>
    <row r="533" spans="30:31">
      <c r="AD533" s="166"/>
      <c r="AE533" s="166"/>
    </row>
    <row r="534" spans="30:31">
      <c r="AD534" s="166"/>
      <c r="AE534" s="166"/>
    </row>
    <row r="535" spans="30:31">
      <c r="AD535" s="166"/>
      <c r="AE535" s="166"/>
    </row>
    <row r="536" spans="30:31">
      <c r="AD536" s="166"/>
      <c r="AE536" s="166"/>
    </row>
    <row r="537" spans="30:31">
      <c r="AD537" s="166"/>
      <c r="AE537" s="166"/>
    </row>
    <row r="538" spans="30:31">
      <c r="AD538" s="166"/>
      <c r="AE538" s="166"/>
    </row>
    <row r="539" spans="30:31">
      <c r="AD539" s="166"/>
      <c r="AE539" s="166"/>
    </row>
    <row r="540" spans="30:31">
      <c r="AD540" s="166"/>
      <c r="AE540" s="166"/>
    </row>
    <row r="541" spans="30:31">
      <c r="AD541" s="166"/>
      <c r="AE541" s="166"/>
    </row>
    <row r="542" spans="30:31">
      <c r="AD542" s="166"/>
      <c r="AE542" s="166"/>
    </row>
    <row r="543" spans="30:31">
      <c r="AD543" s="166"/>
      <c r="AE543" s="166"/>
    </row>
    <row r="544" spans="30:31">
      <c r="AD544" s="166"/>
      <c r="AE544" s="166"/>
    </row>
    <row r="545" spans="30:31">
      <c r="AD545" s="166"/>
      <c r="AE545" s="166"/>
    </row>
    <row r="546" spans="30:31">
      <c r="AD546" s="166"/>
      <c r="AE546" s="166"/>
    </row>
    <row r="547" spans="30:31">
      <c r="AD547" s="166"/>
      <c r="AE547" s="166"/>
    </row>
    <row r="548" spans="30:31">
      <c r="AD548" s="166"/>
      <c r="AE548" s="166"/>
    </row>
    <row r="549" spans="30:31">
      <c r="AD549" s="166"/>
      <c r="AE549" s="166"/>
    </row>
    <row r="550" spans="30:31">
      <c r="AD550" s="166"/>
      <c r="AE550" s="166"/>
    </row>
    <row r="551" spans="30:31">
      <c r="AD551" s="166"/>
      <c r="AE551" s="166"/>
    </row>
    <row r="552" spans="30:31">
      <c r="AD552" s="166"/>
      <c r="AE552" s="166"/>
    </row>
    <row r="553" spans="30:31">
      <c r="AD553" s="166"/>
      <c r="AE553" s="166"/>
    </row>
    <row r="554" spans="30:31">
      <c r="AD554" s="166"/>
      <c r="AE554" s="166"/>
    </row>
    <row r="555" spans="30:31">
      <c r="AD555" s="166"/>
      <c r="AE555" s="166"/>
    </row>
    <row r="556" spans="30:31">
      <c r="AD556" s="166"/>
      <c r="AE556" s="166"/>
    </row>
    <row r="557" spans="30:31">
      <c r="AD557" s="166"/>
      <c r="AE557" s="166"/>
    </row>
  </sheetData>
  <sortState xmlns:xlrd2="http://schemas.microsoft.com/office/spreadsheetml/2017/richdata2" ref="T2:Z27">
    <sortCondition ref="U2:U27"/>
    <sortCondition ref="T2:T27"/>
  </sortState>
  <mergeCells count="5">
    <mergeCell ref="T1:Z1"/>
    <mergeCell ref="AB1:AH1"/>
    <mergeCell ref="AJ1:AP1"/>
    <mergeCell ref="AR1:AY1"/>
    <mergeCell ref="BA1:BH1"/>
  </mergeCells>
  <pageMargins left="0.7" right="0.7" top="0.78740157499999996" bottom="0.78740157499999996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>
    <tabColor rgb="FFC9FFC9"/>
    <pageSetUpPr fitToPage="1"/>
  </sheetPr>
  <dimension ref="A1:N38"/>
  <sheetViews>
    <sheetView topLeftCell="A3" zoomScale="80" zoomScaleNormal="80" workbookViewId="0">
      <selection activeCell="E18" sqref="E18"/>
    </sheetView>
  </sheetViews>
  <sheetFormatPr baseColWidth="10" defaultColWidth="11.5703125" defaultRowHeight="12.75"/>
  <cols>
    <col min="1" max="2" width="11.5703125" style="20"/>
    <col min="3" max="3" width="15.7109375" style="20" customWidth="1"/>
    <col min="4" max="4" width="12.42578125" style="20" bestFit="1" customWidth="1"/>
    <col min="5" max="5" width="18.7109375" style="20" customWidth="1"/>
    <col min="6" max="6" width="15" style="20" customWidth="1"/>
    <col min="7" max="7" width="12.42578125" style="20" bestFit="1" customWidth="1"/>
    <col min="8" max="8" width="17" style="20" customWidth="1"/>
    <col min="9" max="9" width="14.7109375" style="20" customWidth="1"/>
    <col min="10" max="10" width="41.7109375" style="20" customWidth="1"/>
    <col min="11" max="16384" width="11.5703125" style="20"/>
  </cols>
  <sheetData>
    <row r="1" spans="1:12" ht="13.5" thickBot="1">
      <c r="A1" s="450" t="s">
        <v>181</v>
      </c>
      <c r="B1" s="450"/>
      <c r="C1" s="450"/>
      <c r="D1" s="450"/>
      <c r="E1" s="450" t="s">
        <v>72</v>
      </c>
      <c r="F1" s="450"/>
      <c r="G1" s="64"/>
      <c r="H1" s="64"/>
      <c r="I1" s="64"/>
      <c r="J1" s="64"/>
      <c r="K1" s="64"/>
    </row>
    <row r="2" spans="1:12" ht="15.75" thickBot="1">
      <c r="A2" s="451" t="str">
        <f>Dateneingabe!E4</f>
        <v>Pflegedienst MORO GmbH</v>
      </c>
      <c r="B2" s="452"/>
      <c r="C2" s="452"/>
      <c r="D2" s="453"/>
      <c r="E2" s="454" t="str">
        <f>Dateneingabe!D8</f>
        <v>460 502 542</v>
      </c>
      <c r="F2" s="455"/>
      <c r="G2" s="64"/>
      <c r="H2" s="64"/>
      <c r="I2" s="64"/>
      <c r="J2" s="64"/>
      <c r="K2" s="64"/>
    </row>
    <row r="3" spans="1:12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2" ht="15">
      <c r="A4" s="65" t="s">
        <v>355</v>
      </c>
      <c r="B4" s="66"/>
      <c r="C4" s="66"/>
      <c r="D4" s="64"/>
      <c r="E4" s="64"/>
      <c r="F4" s="64"/>
      <c r="G4" s="64"/>
      <c r="H4" s="64"/>
      <c r="I4" s="64"/>
      <c r="J4" s="64"/>
      <c r="K4" s="64"/>
    </row>
    <row r="5" spans="1:12" ht="15">
      <c r="A5" s="65" t="s">
        <v>182</v>
      </c>
      <c r="B5" s="66"/>
      <c r="C5" s="66"/>
      <c r="D5" s="64"/>
      <c r="E5" s="64"/>
      <c r="F5" s="64"/>
      <c r="G5" s="64"/>
      <c r="H5" s="64"/>
      <c r="I5" s="64"/>
      <c r="J5" s="64"/>
      <c r="K5" s="64"/>
    </row>
    <row r="6" spans="1:12">
      <c r="A6" s="67" t="s">
        <v>183</v>
      </c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2" ht="13.5" thickBot="1">
      <c r="A7" s="67" t="s">
        <v>184</v>
      </c>
      <c r="B7" s="64"/>
      <c r="C7" s="64"/>
      <c r="D7" s="64"/>
      <c r="E7" s="64"/>
      <c r="F7" s="64"/>
      <c r="G7" s="64"/>
      <c r="H7" s="64"/>
      <c r="I7" s="64"/>
      <c r="J7" s="64"/>
      <c r="K7" s="64"/>
    </row>
    <row r="8" spans="1:12">
      <c r="A8" s="67"/>
      <c r="B8" s="64"/>
      <c r="C8" s="64"/>
      <c r="D8" s="64"/>
      <c r="E8" s="64"/>
      <c r="F8" s="64"/>
      <c r="G8" s="415" t="s">
        <v>348</v>
      </c>
      <c r="H8" s="416"/>
      <c r="I8" s="416"/>
      <c r="J8" s="417"/>
      <c r="K8" s="64"/>
    </row>
    <row r="9" spans="1:12" ht="13.5" thickBot="1">
      <c r="A9" s="64"/>
      <c r="B9" s="64"/>
      <c r="C9" s="64"/>
      <c r="D9" s="64"/>
      <c r="E9" s="64"/>
      <c r="F9" s="64"/>
      <c r="G9" s="418"/>
      <c r="H9" s="419"/>
      <c r="I9" s="419"/>
      <c r="J9" s="420"/>
      <c r="K9" s="64"/>
    </row>
    <row r="10" spans="1:12">
      <c r="A10" s="64"/>
      <c r="B10" s="64"/>
      <c r="C10" s="64"/>
      <c r="D10" s="426" t="s">
        <v>48</v>
      </c>
      <c r="E10" s="427"/>
      <c r="F10" s="427"/>
      <c r="G10" s="426" t="s">
        <v>202</v>
      </c>
      <c r="H10" s="427"/>
      <c r="I10" s="427"/>
      <c r="J10" s="428"/>
      <c r="K10" s="64"/>
    </row>
    <row r="11" spans="1:12" ht="15.75" thickBot="1">
      <c r="A11" s="68"/>
      <c r="B11" s="68"/>
      <c r="C11" s="69"/>
      <c r="D11" s="429"/>
      <c r="E11" s="430"/>
      <c r="F11" s="430"/>
      <c r="G11" s="429"/>
      <c r="H11" s="430"/>
      <c r="I11" s="430"/>
      <c r="J11" s="431"/>
      <c r="K11" s="64"/>
    </row>
    <row r="12" spans="1:12" ht="15.75" thickBot="1">
      <c r="A12" s="68"/>
      <c r="B12" s="68"/>
      <c r="C12" s="69"/>
      <c r="D12" s="447">
        <f>YEAR(Dateneingabe!F16)</f>
        <v>2024</v>
      </c>
      <c r="E12" s="448"/>
      <c r="F12" s="449"/>
      <c r="G12" s="444">
        <f>YEAR(Dateneingabe!F17)</f>
        <v>2026</v>
      </c>
      <c r="H12" s="445"/>
      <c r="I12" s="445"/>
      <c r="J12" s="446"/>
      <c r="K12" s="64"/>
    </row>
    <row r="13" spans="1:12" ht="19.149999999999999" customHeight="1" thickBot="1">
      <c r="A13" s="421" t="s">
        <v>185</v>
      </c>
      <c r="B13" s="422"/>
      <c r="C13" s="423"/>
      <c r="D13" s="70" t="s">
        <v>49</v>
      </c>
      <c r="E13" s="164" t="s">
        <v>186</v>
      </c>
      <c r="F13" s="165" t="s">
        <v>187</v>
      </c>
      <c r="G13" s="70" t="s">
        <v>49</v>
      </c>
      <c r="H13" s="71" t="s">
        <v>186</v>
      </c>
      <c r="I13" s="72" t="s">
        <v>187</v>
      </c>
      <c r="J13" s="73" t="s">
        <v>307</v>
      </c>
      <c r="K13" s="64"/>
      <c r="L13" s="74"/>
    </row>
    <row r="14" spans="1:12" ht="14.25">
      <c r="A14" s="441" t="s">
        <v>353</v>
      </c>
      <c r="B14" s="442"/>
      <c r="C14" s="443"/>
      <c r="D14" s="100">
        <v>0.76</v>
      </c>
      <c r="E14" s="101">
        <v>36483.94</v>
      </c>
      <c r="F14" s="75">
        <f t="shared" ref="F14:F17" si="0">IF(D14&lt;&gt;0,E14/D14,0)</f>
        <v>48005.18421052632</v>
      </c>
      <c r="G14" s="100"/>
      <c r="H14" s="154"/>
      <c r="I14" s="157">
        <f>IF(G14 &lt;&gt; 0,H14/G14,0)</f>
        <v>0</v>
      </c>
      <c r="J14" s="87">
        <f t="shared" ref="J14:J19" si="1">IF(OR(I14=0,F14=0),0,I14/F14-1)</f>
        <v>0</v>
      </c>
      <c r="K14" s="64"/>
    </row>
    <row r="15" spans="1:12" ht="28.5" customHeight="1">
      <c r="A15" s="440" t="s">
        <v>139</v>
      </c>
      <c r="B15" s="434"/>
      <c r="C15" s="435"/>
      <c r="D15" s="100">
        <v>2.2200000000000002</v>
      </c>
      <c r="E15" s="101">
        <v>166043.46</v>
      </c>
      <c r="F15" s="77">
        <f t="shared" si="0"/>
        <v>74794.351351351346</v>
      </c>
      <c r="G15" s="100"/>
      <c r="H15" s="154"/>
      <c r="I15" s="158">
        <f t="shared" ref="I15:I20" si="2">IF(G15&lt;&gt;0,H15/G15,0)</f>
        <v>0</v>
      </c>
      <c r="J15" s="76">
        <f t="shared" si="1"/>
        <v>0</v>
      </c>
      <c r="K15" s="64"/>
    </row>
    <row r="16" spans="1:12" ht="14.25">
      <c r="A16" s="433" t="s">
        <v>141</v>
      </c>
      <c r="B16" s="434"/>
      <c r="C16" s="435"/>
      <c r="D16" s="100">
        <v>0.16</v>
      </c>
      <c r="E16" s="101">
        <v>8639.7099999999991</v>
      </c>
      <c r="F16" s="78">
        <f t="shared" si="0"/>
        <v>53998.187499999993</v>
      </c>
      <c r="G16" s="100"/>
      <c r="H16" s="154"/>
      <c r="I16" s="75">
        <f t="shared" si="2"/>
        <v>0</v>
      </c>
      <c r="J16" s="76">
        <f t="shared" si="1"/>
        <v>0</v>
      </c>
      <c r="K16" s="64"/>
    </row>
    <row r="17" spans="1:14" ht="14.25">
      <c r="A17" s="433" t="s">
        <v>38</v>
      </c>
      <c r="B17" s="434"/>
      <c r="C17" s="435"/>
      <c r="D17" s="100">
        <v>3.63</v>
      </c>
      <c r="E17" s="101">
        <v>156134.69</v>
      </c>
      <c r="F17" s="79">
        <f t="shared" si="0"/>
        <v>43012.311294765845</v>
      </c>
      <c r="G17" s="100"/>
      <c r="H17" s="154"/>
      <c r="I17" s="159">
        <f t="shared" si="2"/>
        <v>0</v>
      </c>
      <c r="J17" s="76">
        <f t="shared" si="1"/>
        <v>0</v>
      </c>
      <c r="K17" s="64"/>
    </row>
    <row r="18" spans="1:14" ht="14.25">
      <c r="A18" s="433" t="s">
        <v>144</v>
      </c>
      <c r="B18" s="434"/>
      <c r="C18" s="435"/>
      <c r="D18" s="100"/>
      <c r="E18" s="101"/>
      <c r="F18" s="79">
        <f t="shared" ref="F18:F20" si="3">IF(D18&lt;&gt;0,E18/D18,0)</f>
        <v>0</v>
      </c>
      <c r="G18" s="104"/>
      <c r="H18" s="155"/>
      <c r="I18" s="159">
        <f t="shared" si="2"/>
        <v>0</v>
      </c>
      <c r="J18" s="76">
        <f t="shared" si="1"/>
        <v>0</v>
      </c>
      <c r="K18" s="64"/>
    </row>
    <row r="19" spans="1:14" ht="15" thickBot="1">
      <c r="A19" s="436" t="s">
        <v>146</v>
      </c>
      <c r="B19" s="437"/>
      <c r="C19" s="438"/>
      <c r="D19" s="100"/>
      <c r="E19" s="102"/>
      <c r="F19" s="79">
        <f t="shared" si="3"/>
        <v>0</v>
      </c>
      <c r="G19" s="103"/>
      <c r="H19" s="156"/>
      <c r="I19" s="160">
        <f t="shared" si="2"/>
        <v>0</v>
      </c>
      <c r="J19" s="76">
        <f t="shared" si="1"/>
        <v>0</v>
      </c>
      <c r="K19" s="64"/>
    </row>
    <row r="20" spans="1:14" ht="15.75" thickBot="1">
      <c r="A20" s="421" t="s">
        <v>189</v>
      </c>
      <c r="B20" s="422"/>
      <c r="C20" s="423"/>
      <c r="D20" s="81">
        <f>SUM(D14:D19)</f>
        <v>6.7700000000000005</v>
      </c>
      <c r="E20" s="163">
        <f>SUM(E14:E19)</f>
        <v>367301.8</v>
      </c>
      <c r="F20" s="162">
        <f t="shared" si="3"/>
        <v>54254.32791728212</v>
      </c>
      <c r="G20" s="81">
        <f>SUM(G14:G19)</f>
        <v>0</v>
      </c>
      <c r="H20" s="161">
        <f>SUM(H14:H19)</f>
        <v>0</v>
      </c>
      <c r="I20" s="162">
        <f t="shared" si="2"/>
        <v>0</v>
      </c>
      <c r="J20" s="108">
        <f>IF(OR(F20=0,I20=0),0,I20/F20-1)</f>
        <v>0</v>
      </c>
      <c r="K20" s="64"/>
      <c r="M20" s="82"/>
    </row>
    <row r="21" spans="1:14" ht="13.5" thickBot="1">
      <c r="A21" s="64"/>
      <c r="B21" s="64"/>
      <c r="C21" s="64"/>
      <c r="D21" s="64"/>
      <c r="E21" s="83"/>
      <c r="F21" s="83"/>
      <c r="G21" s="64"/>
      <c r="H21" s="64"/>
      <c r="I21" s="64"/>
      <c r="J21" s="64"/>
      <c r="K21" s="64"/>
      <c r="N21" s="33"/>
    </row>
    <row r="22" spans="1:14" ht="15">
      <c r="A22" s="439" t="s">
        <v>190</v>
      </c>
      <c r="B22" s="439"/>
      <c r="C22" s="64"/>
      <c r="D22" s="426" t="s">
        <v>48</v>
      </c>
      <c r="E22" s="427"/>
      <c r="F22" s="428"/>
      <c r="G22" s="426" t="s">
        <v>202</v>
      </c>
      <c r="H22" s="427"/>
      <c r="I22" s="427"/>
      <c r="J22" s="428"/>
      <c r="K22" s="64"/>
    </row>
    <row r="23" spans="1:14" ht="13.5" thickBot="1">
      <c r="A23" s="67" t="s">
        <v>191</v>
      </c>
      <c r="B23" s="64"/>
      <c r="C23" s="64"/>
      <c r="D23" s="429"/>
      <c r="E23" s="432"/>
      <c r="F23" s="431"/>
      <c r="G23" s="429"/>
      <c r="H23" s="430"/>
      <c r="I23" s="430"/>
      <c r="J23" s="431"/>
      <c r="K23" s="64"/>
    </row>
    <row r="24" spans="1:14" ht="14.25">
      <c r="A24" s="424" t="s">
        <v>50</v>
      </c>
      <c r="B24" s="424"/>
      <c r="C24" s="424"/>
      <c r="D24" s="84"/>
      <c r="E24" s="105">
        <v>947.23</v>
      </c>
      <c r="F24" s="85"/>
      <c r="G24" s="86"/>
      <c r="H24" s="152">
        <v>0</v>
      </c>
      <c r="I24" s="86"/>
      <c r="J24" s="153">
        <f t="shared" ref="J24:J34" si="4">IF(OR(E24=0,H24=0),0,H24/E24-1)</f>
        <v>0</v>
      </c>
      <c r="K24" s="64"/>
    </row>
    <row r="25" spans="1:14" ht="14.25">
      <c r="A25" s="424" t="s">
        <v>51</v>
      </c>
      <c r="B25" s="424"/>
      <c r="C25" s="424"/>
      <c r="D25" s="84"/>
      <c r="E25" s="106">
        <v>26118.5</v>
      </c>
      <c r="F25" s="85"/>
      <c r="G25" s="86"/>
      <c r="H25" s="152"/>
      <c r="I25" s="86"/>
      <c r="J25" s="76">
        <f t="shared" si="4"/>
        <v>0</v>
      </c>
      <c r="K25" s="64"/>
    </row>
    <row r="26" spans="1:14" ht="14.25">
      <c r="A26" s="424" t="s">
        <v>65</v>
      </c>
      <c r="B26" s="424"/>
      <c r="C26" s="424"/>
      <c r="D26" s="84"/>
      <c r="E26" s="106"/>
      <c r="F26" s="85"/>
      <c r="G26" s="86"/>
      <c r="H26" s="152"/>
      <c r="I26" s="86"/>
      <c r="J26" s="76">
        <f t="shared" si="4"/>
        <v>0</v>
      </c>
      <c r="K26" s="83"/>
      <c r="L26" s="88"/>
    </row>
    <row r="27" spans="1:14" ht="14.25">
      <c r="A27" s="424" t="s">
        <v>52</v>
      </c>
      <c r="B27" s="424"/>
      <c r="C27" s="424"/>
      <c r="D27" s="84"/>
      <c r="E27" s="106">
        <v>13296.2</v>
      </c>
      <c r="F27" s="85"/>
      <c r="G27" s="86"/>
      <c r="H27" s="152"/>
      <c r="I27" s="86"/>
      <c r="J27" s="76">
        <f t="shared" si="4"/>
        <v>0</v>
      </c>
      <c r="K27" s="64"/>
    </row>
    <row r="28" spans="1:14" ht="14.25">
      <c r="A28" s="424" t="s">
        <v>192</v>
      </c>
      <c r="B28" s="424"/>
      <c r="C28" s="424"/>
      <c r="D28" s="84"/>
      <c r="E28" s="106">
        <v>750.27</v>
      </c>
      <c r="F28" s="85"/>
      <c r="G28" s="86"/>
      <c r="H28" s="152"/>
      <c r="I28" s="86"/>
      <c r="J28" s="76">
        <f t="shared" si="4"/>
        <v>0</v>
      </c>
      <c r="K28" s="64"/>
    </row>
    <row r="29" spans="1:14" ht="14.25">
      <c r="A29" s="424" t="s">
        <v>66</v>
      </c>
      <c r="B29" s="424"/>
      <c r="C29" s="424"/>
      <c r="D29" s="84"/>
      <c r="E29" s="106"/>
      <c r="F29" s="85"/>
      <c r="G29" s="86"/>
      <c r="H29" s="152"/>
      <c r="I29" s="86"/>
      <c r="J29" s="76">
        <f t="shared" si="4"/>
        <v>0</v>
      </c>
      <c r="K29" s="64"/>
    </row>
    <row r="30" spans="1:14" ht="14.25">
      <c r="A30" s="424" t="s">
        <v>53</v>
      </c>
      <c r="B30" s="424"/>
      <c r="C30" s="424"/>
      <c r="D30" s="84"/>
      <c r="E30" s="106">
        <v>655.92</v>
      </c>
      <c r="F30" s="85"/>
      <c r="G30" s="86"/>
      <c r="H30" s="152"/>
      <c r="I30" s="86"/>
      <c r="J30" s="76">
        <f t="shared" si="4"/>
        <v>0</v>
      </c>
      <c r="K30" s="64"/>
    </row>
    <row r="31" spans="1:14" ht="14.25">
      <c r="A31" s="424" t="s">
        <v>54</v>
      </c>
      <c r="B31" s="424"/>
      <c r="C31" s="424"/>
      <c r="D31" s="84"/>
      <c r="E31" s="106">
        <v>2767.25</v>
      </c>
      <c r="F31" s="85"/>
      <c r="G31" s="86"/>
      <c r="H31" s="152"/>
      <c r="I31" s="86"/>
      <c r="J31" s="76">
        <f t="shared" si="4"/>
        <v>0</v>
      </c>
      <c r="K31" s="64"/>
    </row>
    <row r="32" spans="1:14" ht="14.25">
      <c r="A32" s="424" t="s">
        <v>55</v>
      </c>
      <c r="B32" s="424"/>
      <c r="C32" s="424"/>
      <c r="D32" s="84"/>
      <c r="E32" s="106"/>
      <c r="F32" s="85"/>
      <c r="G32" s="86"/>
      <c r="H32" s="152"/>
      <c r="I32" s="86"/>
      <c r="J32" s="76">
        <f t="shared" si="4"/>
        <v>0</v>
      </c>
      <c r="K32" s="64"/>
    </row>
    <row r="33" spans="1:11" ht="14.25">
      <c r="A33" s="424" t="s">
        <v>193</v>
      </c>
      <c r="B33" s="424"/>
      <c r="C33" s="424"/>
      <c r="D33" s="84"/>
      <c r="E33" s="106">
        <v>1144.44</v>
      </c>
      <c r="F33" s="89"/>
      <c r="G33" s="86"/>
      <c r="H33" s="152"/>
      <c r="I33" s="86"/>
      <c r="J33" s="76">
        <f t="shared" si="4"/>
        <v>0</v>
      </c>
      <c r="K33" s="64"/>
    </row>
    <row r="34" spans="1:11" ht="15" thickBot="1">
      <c r="A34" s="425" t="s">
        <v>194</v>
      </c>
      <c r="B34" s="425"/>
      <c r="C34" s="425"/>
      <c r="D34" s="84"/>
      <c r="E34" s="107"/>
      <c r="F34" s="85"/>
      <c r="G34" s="86"/>
      <c r="H34" s="152">
        <v>0</v>
      </c>
      <c r="I34" s="86"/>
      <c r="J34" s="80">
        <f t="shared" si="4"/>
        <v>0</v>
      </c>
      <c r="K34" s="64"/>
    </row>
    <row r="35" spans="1:11" ht="15.75" thickBot="1">
      <c r="A35" s="421" t="s">
        <v>195</v>
      </c>
      <c r="B35" s="422"/>
      <c r="C35" s="423"/>
      <c r="D35" s="90"/>
      <c r="E35" s="91">
        <f>SUM(E24:E34)</f>
        <v>45679.81</v>
      </c>
      <c r="F35" s="92">
        <f>IF(OR(E35=0,E37=0),0,(E35/(E37)))</f>
        <v>0.11060979204376679</v>
      </c>
      <c r="G35" s="90"/>
      <c r="H35" s="93">
        <f>SUM(H24:H34)</f>
        <v>0</v>
      </c>
      <c r="I35" s="94">
        <f>IF(OR(H35=0,H37=0),0,(H35/(H37)))</f>
        <v>0</v>
      </c>
      <c r="J35" s="95"/>
      <c r="K35" s="64"/>
    </row>
    <row r="36" spans="1:11" ht="15" thickBot="1">
      <c r="A36" s="64"/>
      <c r="B36" s="64"/>
      <c r="C36" s="64"/>
      <c r="D36" s="64"/>
      <c r="E36" s="96"/>
      <c r="F36" s="83"/>
      <c r="G36" s="64"/>
      <c r="H36" s="96"/>
      <c r="I36" s="64"/>
      <c r="J36" s="64"/>
      <c r="K36" s="64"/>
    </row>
    <row r="37" spans="1:11" ht="15.75" thickBot="1">
      <c r="A37" s="421" t="s">
        <v>196</v>
      </c>
      <c r="B37" s="422"/>
      <c r="C37" s="423"/>
      <c r="D37" s="64"/>
      <c r="E37" s="97">
        <f>E20+E35</f>
        <v>412981.61</v>
      </c>
      <c r="F37" s="83"/>
      <c r="G37" s="64"/>
      <c r="H37" s="97">
        <f>H20+H35</f>
        <v>0</v>
      </c>
      <c r="I37" s="64"/>
      <c r="J37" s="64"/>
      <c r="K37" s="64"/>
    </row>
    <row r="38" spans="1:11" ht="15">
      <c r="A38" s="98"/>
      <c r="B38" s="98"/>
      <c r="C38" s="98"/>
      <c r="D38" s="64"/>
      <c r="E38" s="99"/>
      <c r="F38" s="83"/>
      <c r="G38" s="64"/>
      <c r="H38" s="64"/>
      <c r="I38" s="64"/>
      <c r="J38" s="64"/>
      <c r="K38" s="64"/>
    </row>
  </sheetData>
  <sheetProtection algorithmName="SHA-512" hashValue="q1vp0ZADjdZ6cAmMy9JE/AwIdVCEQK4AiFmJLMIhoMQ0Gu14X89ddbcGGvM93P9Dz9zjJnwfFcL2kq7+GAI+Jg==" saltValue="hkdpIPulZeytZsmnehpACQ==" spinCount="100000" sheet="1" objects="1" scenarios="1"/>
  <mergeCells count="33">
    <mergeCell ref="A1:D1"/>
    <mergeCell ref="E1:F1"/>
    <mergeCell ref="A2:D2"/>
    <mergeCell ref="E2:F2"/>
    <mergeCell ref="D10:F11"/>
    <mergeCell ref="A18:C18"/>
    <mergeCell ref="A19:C19"/>
    <mergeCell ref="A20:C20"/>
    <mergeCell ref="A22:B22"/>
    <mergeCell ref="G10:J11"/>
    <mergeCell ref="A13:C13"/>
    <mergeCell ref="A15:C15"/>
    <mergeCell ref="A16:C16"/>
    <mergeCell ref="A14:C14"/>
    <mergeCell ref="G12:J12"/>
    <mergeCell ref="A17:C17"/>
    <mergeCell ref="D12:F12"/>
    <mergeCell ref="G8:J9"/>
    <mergeCell ref="A35:C35"/>
    <mergeCell ref="A37:C37"/>
    <mergeCell ref="A29:C29"/>
    <mergeCell ref="A30:C30"/>
    <mergeCell ref="A31:C31"/>
    <mergeCell ref="A32:C32"/>
    <mergeCell ref="A33:C33"/>
    <mergeCell ref="A34:C34"/>
    <mergeCell ref="G22:J23"/>
    <mergeCell ref="A24:C24"/>
    <mergeCell ref="A25:C25"/>
    <mergeCell ref="A26:C26"/>
    <mergeCell ref="A27:C27"/>
    <mergeCell ref="D22:F23"/>
    <mergeCell ref="A28:C28"/>
  </mergeCells>
  <conditionalFormatting sqref="D18:D19">
    <cfRule type="cellIs" dxfId="7" priority="1" stopIfTrue="1" operator="equal">
      <formula>0</formula>
    </cfRule>
  </conditionalFormatting>
  <conditionalFormatting sqref="D14:E17">
    <cfRule type="cellIs" dxfId="6" priority="2" stopIfTrue="1" operator="equal">
      <formula>0</formula>
    </cfRule>
  </conditionalFormatting>
  <conditionalFormatting sqref="E18">
    <cfRule type="cellIs" dxfId="5" priority="3" stopIfTrue="1" operator="equal">
      <formula>0</formula>
    </cfRule>
  </conditionalFormatting>
  <conditionalFormatting sqref="E24:E34">
    <cfRule type="cellIs" dxfId="4" priority="44" stopIfTrue="1" operator="equal">
      <formula>0</formula>
    </cfRule>
  </conditionalFormatting>
  <conditionalFormatting sqref="E19:F19">
    <cfRule type="cellIs" dxfId="3" priority="61" stopIfTrue="1" operator="equal">
      <formula>0</formula>
    </cfRule>
  </conditionalFormatting>
  <conditionalFormatting sqref="F14:F18">
    <cfRule type="cellIs" dxfId="2" priority="6" stopIfTrue="1" operator="equal">
      <formula>0</formula>
    </cfRule>
  </conditionalFormatting>
  <conditionalFormatting sqref="G14:I19">
    <cfRule type="cellIs" dxfId="1" priority="4" stopIfTrue="1" operator="equal">
      <formula>0</formula>
    </cfRule>
  </conditionalFormatting>
  <conditionalFormatting sqref="H24:H34">
    <cfRule type="cellIs" dxfId="0" priority="37" stopIfTrue="1" operator="equal">
      <formula>0</formula>
    </cfRule>
  </conditionalFormatting>
  <pageMargins left="0.7" right="0.7" top="0.78740157499999996" bottom="0.78740157499999996" header="0.3" footer="0.3"/>
  <pageSetup paperSize="9" scale="7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>
    <tabColor rgb="FFCCFFCC"/>
  </sheetPr>
  <dimension ref="A1:O54"/>
  <sheetViews>
    <sheetView topLeftCell="A17" workbookViewId="0">
      <selection activeCell="B18" sqref="B18"/>
    </sheetView>
  </sheetViews>
  <sheetFormatPr baseColWidth="10" defaultColWidth="11.5703125" defaultRowHeight="12.75"/>
  <cols>
    <col min="1" max="1" width="5.28515625" style="19" customWidth="1"/>
    <col min="2" max="2" width="13.140625" style="19" customWidth="1"/>
    <col min="3" max="3" width="19.7109375" style="19" customWidth="1"/>
    <col min="4" max="4" width="19.42578125" style="19" customWidth="1"/>
    <col min="5" max="5" width="12.85546875" style="19" bestFit="1" customWidth="1"/>
    <col min="6" max="6" width="3.28515625" style="19" customWidth="1"/>
    <col min="7" max="7" width="17.5703125" style="19" customWidth="1"/>
    <col min="8" max="8" width="3.28515625" style="19" customWidth="1"/>
    <col min="9" max="9" width="14.28515625" style="19" customWidth="1"/>
    <col min="10" max="10" width="3.28515625" style="19" customWidth="1"/>
    <col min="11" max="11" width="18.140625" style="19" customWidth="1"/>
    <col min="12" max="12" width="3.28515625" style="19" customWidth="1"/>
    <col min="13" max="13" width="10" style="19" customWidth="1"/>
    <col min="14" max="16384" width="11.5703125" style="19"/>
  </cols>
  <sheetData>
    <row r="1" spans="1:15" ht="18">
      <c r="A1" s="109" t="s">
        <v>312</v>
      </c>
      <c r="B1" s="109"/>
      <c r="C1" s="109"/>
      <c r="D1" s="109"/>
      <c r="E1" s="109"/>
    </row>
    <row r="2" spans="1:15" ht="15">
      <c r="B2" s="110" t="str">
        <f>Dateneingabe!E4</f>
        <v>Pflegedienst MORO GmbH</v>
      </c>
      <c r="I2" s="111"/>
      <c r="K2" s="111"/>
    </row>
    <row r="3" spans="1:15" ht="15">
      <c r="I3" s="112"/>
    </row>
    <row r="4" spans="1:15" ht="15">
      <c r="A4" s="113"/>
      <c r="B4" s="113" t="s">
        <v>313</v>
      </c>
      <c r="C4" s="113"/>
      <c r="E4" s="113"/>
    </row>
    <row r="5" spans="1:15">
      <c r="A5" s="19" t="s">
        <v>57</v>
      </c>
      <c r="B5" s="45" t="s">
        <v>314</v>
      </c>
      <c r="E5" s="147">
        <v>1165.69</v>
      </c>
    </row>
    <row r="6" spans="1:15">
      <c r="A6" s="19" t="s">
        <v>59</v>
      </c>
      <c r="B6" s="45" t="s">
        <v>315</v>
      </c>
      <c r="E6" s="148">
        <f>E5*0.9/12</f>
        <v>87.426750000000013</v>
      </c>
    </row>
    <row r="7" spans="1:15" ht="15">
      <c r="A7" s="19" t="s">
        <v>60</v>
      </c>
      <c r="B7" s="45" t="s">
        <v>316</v>
      </c>
      <c r="D7" s="46">
        <f>0.25</f>
        <v>0.25</v>
      </c>
      <c r="E7" s="114">
        <f>(E5+E6)*D7</f>
        <v>313.27918750000003</v>
      </c>
      <c r="F7" s="115"/>
      <c r="G7" s="116"/>
    </row>
    <row r="8" spans="1:15" ht="8.25" customHeight="1">
      <c r="E8" s="117"/>
    </row>
    <row r="9" spans="1:15" ht="15">
      <c r="A9" s="113"/>
      <c r="B9" s="113" t="s">
        <v>317</v>
      </c>
      <c r="C9" s="113"/>
      <c r="E9" s="118">
        <f>ROUND(SUM(E5:E7),2)</f>
        <v>1566.4</v>
      </c>
    </row>
    <row r="10" spans="1:15">
      <c r="E10" s="119"/>
      <c r="F10" s="120"/>
      <c r="G10" s="119"/>
      <c r="H10" s="120"/>
    </row>
    <row r="11" spans="1:15">
      <c r="E11" s="121"/>
      <c r="N11" s="122" t="s">
        <v>58</v>
      </c>
      <c r="O11" s="122" t="s">
        <v>328</v>
      </c>
    </row>
    <row r="12" spans="1:15" ht="18">
      <c r="A12" s="123" t="s">
        <v>318</v>
      </c>
      <c r="B12" s="123" t="s">
        <v>319</v>
      </c>
      <c r="D12" s="124"/>
      <c r="E12" s="124"/>
      <c r="I12" s="17" t="s">
        <v>320</v>
      </c>
      <c r="K12" s="125">
        <f>Dateneingabe!E17</f>
        <v>46023</v>
      </c>
      <c r="N12" s="122">
        <f>DATEDIF(K12,K14,"d")</f>
        <v>364</v>
      </c>
      <c r="O12" s="122">
        <f>ROUND((N12/30.42),1)</f>
        <v>12</v>
      </c>
    </row>
    <row r="13" spans="1:15" ht="7.9" customHeight="1"/>
    <row r="14" spans="1:15" ht="15">
      <c r="A14" s="126" t="s">
        <v>321</v>
      </c>
      <c r="B14" s="126" t="s">
        <v>322</v>
      </c>
      <c r="I14" s="17" t="s">
        <v>323</v>
      </c>
      <c r="K14" s="125">
        <f>Dateneingabe!F17</f>
        <v>46387</v>
      </c>
    </row>
    <row r="15" spans="1:15" ht="7.5" customHeight="1"/>
    <row r="16" spans="1:15" s="127" customFormat="1" ht="25.5">
      <c r="B16" s="128" t="s">
        <v>324</v>
      </c>
      <c r="C16" s="129" t="s">
        <v>325</v>
      </c>
      <c r="D16" s="129" t="s">
        <v>326</v>
      </c>
      <c r="E16" s="130" t="s">
        <v>327</v>
      </c>
      <c r="F16" s="129"/>
      <c r="G16" s="129" t="s">
        <v>328</v>
      </c>
      <c r="H16" s="129"/>
      <c r="I16" s="129" t="s">
        <v>329</v>
      </c>
      <c r="J16" s="129"/>
      <c r="K16" s="130" t="s">
        <v>330</v>
      </c>
      <c r="L16" s="129"/>
      <c r="M16" s="130" t="s">
        <v>331</v>
      </c>
    </row>
    <row r="17" spans="1:13">
      <c r="B17" s="469" t="s">
        <v>440</v>
      </c>
      <c r="C17" s="150">
        <v>45444</v>
      </c>
      <c r="D17" s="150">
        <v>45900</v>
      </c>
      <c r="E17" s="151">
        <v>1</v>
      </c>
      <c r="F17" s="131" t="str">
        <f>IF(E17="","","x")</f>
        <v>x</v>
      </c>
      <c r="G17" s="151">
        <v>15</v>
      </c>
      <c r="H17" s="132" t="str">
        <f>IF(E17="","","=")</f>
        <v>=</v>
      </c>
      <c r="I17" s="131">
        <f>IF(E17="","",E17*G17)</f>
        <v>15</v>
      </c>
      <c r="J17" s="131" t="str">
        <f>IF(E17="","","x")</f>
        <v>x</v>
      </c>
      <c r="K17" s="151">
        <v>1</v>
      </c>
      <c r="L17" s="131" t="str">
        <f>IF(E17="","","=")</f>
        <v>=</v>
      </c>
      <c r="M17" s="133">
        <f>IF(E17="","",I17*K17)</f>
        <v>15</v>
      </c>
    </row>
    <row r="18" spans="1:13">
      <c r="B18" s="149"/>
      <c r="C18" s="150"/>
      <c r="D18" s="150"/>
      <c r="E18" s="151"/>
      <c r="F18" s="131" t="str">
        <f t="shared" ref="F18:F26" si="0">IF(E18="","","x")</f>
        <v/>
      </c>
      <c r="G18" s="151"/>
      <c r="H18" s="132" t="str">
        <f t="shared" ref="H18:H26" si="1">IF(E18="","","=")</f>
        <v/>
      </c>
      <c r="I18" s="131" t="str">
        <f t="shared" ref="I18:I26" si="2">IF(E18="","",E18*G18)</f>
        <v/>
      </c>
      <c r="J18" s="131" t="str">
        <f t="shared" ref="J18:J26" si="3">IF(E18="","","x")</f>
        <v/>
      </c>
      <c r="K18" s="151"/>
      <c r="L18" s="131" t="str">
        <f t="shared" ref="L18:L26" si="4">IF(E18="","","=")</f>
        <v/>
      </c>
      <c r="M18" s="133" t="str">
        <f t="shared" ref="M18:M26" si="5">IF(E18="","",I18*K18)</f>
        <v/>
      </c>
    </row>
    <row r="19" spans="1:13">
      <c r="B19" s="149"/>
      <c r="C19" s="150"/>
      <c r="D19" s="150"/>
      <c r="E19" s="151"/>
      <c r="F19" s="131" t="str">
        <f t="shared" si="0"/>
        <v/>
      </c>
      <c r="G19" s="151"/>
      <c r="H19" s="132" t="str">
        <f t="shared" si="1"/>
        <v/>
      </c>
      <c r="I19" s="131" t="str">
        <f t="shared" si="2"/>
        <v/>
      </c>
      <c r="J19" s="131" t="str">
        <f t="shared" si="3"/>
        <v/>
      </c>
      <c r="K19" s="151"/>
      <c r="L19" s="131" t="str">
        <f t="shared" si="4"/>
        <v/>
      </c>
      <c r="M19" s="133" t="str">
        <f t="shared" si="5"/>
        <v/>
      </c>
    </row>
    <row r="20" spans="1:13">
      <c r="B20" s="149"/>
      <c r="C20" s="150"/>
      <c r="D20" s="150"/>
      <c r="E20" s="151"/>
      <c r="F20" s="131" t="str">
        <f t="shared" si="0"/>
        <v/>
      </c>
      <c r="G20" s="151"/>
      <c r="H20" s="132" t="str">
        <f t="shared" si="1"/>
        <v/>
      </c>
      <c r="I20" s="131" t="str">
        <f t="shared" si="2"/>
        <v/>
      </c>
      <c r="J20" s="131" t="str">
        <f t="shared" si="3"/>
        <v/>
      </c>
      <c r="K20" s="151"/>
      <c r="L20" s="131" t="str">
        <f t="shared" si="4"/>
        <v/>
      </c>
      <c r="M20" s="133" t="str">
        <f t="shared" si="5"/>
        <v/>
      </c>
    </row>
    <row r="21" spans="1:13">
      <c r="B21" s="149"/>
      <c r="C21" s="150"/>
      <c r="D21" s="150"/>
      <c r="E21" s="151"/>
      <c r="F21" s="131" t="str">
        <f t="shared" si="0"/>
        <v/>
      </c>
      <c r="G21" s="151"/>
      <c r="H21" s="132" t="str">
        <f t="shared" si="1"/>
        <v/>
      </c>
      <c r="I21" s="131" t="str">
        <f t="shared" si="2"/>
        <v/>
      </c>
      <c r="J21" s="131" t="str">
        <f t="shared" si="3"/>
        <v/>
      </c>
      <c r="K21" s="151"/>
      <c r="L21" s="131" t="str">
        <f t="shared" si="4"/>
        <v/>
      </c>
      <c r="M21" s="133" t="str">
        <f t="shared" si="5"/>
        <v/>
      </c>
    </row>
    <row r="22" spans="1:13">
      <c r="B22" s="149"/>
      <c r="C22" s="150"/>
      <c r="D22" s="150"/>
      <c r="E22" s="151"/>
      <c r="F22" s="131" t="str">
        <f t="shared" si="0"/>
        <v/>
      </c>
      <c r="G22" s="151"/>
      <c r="H22" s="132" t="str">
        <f t="shared" si="1"/>
        <v/>
      </c>
      <c r="I22" s="131" t="str">
        <f t="shared" si="2"/>
        <v/>
      </c>
      <c r="J22" s="131" t="str">
        <f t="shared" si="3"/>
        <v/>
      </c>
      <c r="K22" s="151"/>
      <c r="L22" s="131" t="str">
        <f t="shared" si="4"/>
        <v/>
      </c>
      <c r="M22" s="133" t="str">
        <f t="shared" si="5"/>
        <v/>
      </c>
    </row>
    <row r="23" spans="1:13">
      <c r="B23" s="149"/>
      <c r="C23" s="150"/>
      <c r="D23" s="150"/>
      <c r="E23" s="151"/>
      <c r="F23" s="131" t="str">
        <f t="shared" si="0"/>
        <v/>
      </c>
      <c r="G23" s="151"/>
      <c r="H23" s="132" t="str">
        <f t="shared" si="1"/>
        <v/>
      </c>
      <c r="I23" s="131" t="str">
        <f t="shared" si="2"/>
        <v/>
      </c>
      <c r="J23" s="131" t="str">
        <f t="shared" si="3"/>
        <v/>
      </c>
      <c r="K23" s="151"/>
      <c r="L23" s="131" t="str">
        <f t="shared" si="4"/>
        <v/>
      </c>
      <c r="M23" s="133" t="str">
        <f t="shared" si="5"/>
        <v/>
      </c>
    </row>
    <row r="24" spans="1:13">
      <c r="B24" s="149"/>
      <c r="C24" s="150"/>
      <c r="D24" s="150"/>
      <c r="E24" s="151"/>
      <c r="F24" s="131" t="str">
        <f t="shared" si="0"/>
        <v/>
      </c>
      <c r="G24" s="151"/>
      <c r="H24" s="132" t="str">
        <f t="shared" si="1"/>
        <v/>
      </c>
      <c r="I24" s="131" t="str">
        <f t="shared" si="2"/>
        <v/>
      </c>
      <c r="J24" s="131" t="str">
        <f t="shared" si="3"/>
        <v/>
      </c>
      <c r="K24" s="151"/>
      <c r="L24" s="131" t="str">
        <f t="shared" si="4"/>
        <v/>
      </c>
      <c r="M24" s="133" t="str">
        <f t="shared" si="5"/>
        <v/>
      </c>
    </row>
    <row r="25" spans="1:13">
      <c r="B25" s="149"/>
      <c r="C25" s="150"/>
      <c r="D25" s="150"/>
      <c r="E25" s="151"/>
      <c r="F25" s="131" t="str">
        <f t="shared" si="0"/>
        <v/>
      </c>
      <c r="G25" s="151"/>
      <c r="H25" s="132" t="str">
        <f t="shared" si="1"/>
        <v/>
      </c>
      <c r="I25" s="131" t="str">
        <f t="shared" si="2"/>
        <v/>
      </c>
      <c r="J25" s="131" t="str">
        <f t="shared" si="3"/>
        <v/>
      </c>
      <c r="K25" s="151"/>
      <c r="L25" s="131" t="str">
        <f t="shared" si="4"/>
        <v/>
      </c>
      <c r="M25" s="133" t="str">
        <f t="shared" si="5"/>
        <v/>
      </c>
    </row>
    <row r="26" spans="1:13">
      <c r="B26" s="149"/>
      <c r="C26" s="150"/>
      <c r="D26" s="150"/>
      <c r="E26" s="151"/>
      <c r="F26" s="131" t="str">
        <f t="shared" si="0"/>
        <v/>
      </c>
      <c r="G26" s="151"/>
      <c r="H26" s="132" t="str">
        <f t="shared" si="1"/>
        <v/>
      </c>
      <c r="I26" s="131" t="str">
        <f t="shared" si="2"/>
        <v/>
      </c>
      <c r="J26" s="131" t="str">
        <f t="shared" si="3"/>
        <v/>
      </c>
      <c r="K26" s="151"/>
      <c r="L26" s="131" t="str">
        <f t="shared" si="4"/>
        <v/>
      </c>
      <c r="M26" s="133" t="str">
        <f t="shared" si="5"/>
        <v/>
      </c>
    </row>
    <row r="27" spans="1:13">
      <c r="B27" s="133"/>
      <c r="C27" s="133"/>
      <c r="D27" s="133"/>
      <c r="E27" s="133">
        <f>SUM(E17:E26)</f>
        <v>1</v>
      </c>
      <c r="F27" s="133"/>
      <c r="G27" s="133"/>
      <c r="H27" s="133"/>
      <c r="I27" s="133"/>
      <c r="J27" s="133"/>
      <c r="K27" s="133" t="s">
        <v>332</v>
      </c>
      <c r="L27" s="133"/>
      <c r="M27" s="134">
        <f>SUM(M17:M26)</f>
        <v>15</v>
      </c>
    </row>
    <row r="28" spans="1:13" ht="15">
      <c r="H28" s="135"/>
      <c r="I28" s="135"/>
      <c r="J28" s="135"/>
      <c r="K28" s="135"/>
      <c r="L28" s="135"/>
    </row>
    <row r="29" spans="1:13" ht="15.75">
      <c r="A29" s="126" t="s">
        <v>333</v>
      </c>
      <c r="B29" s="126" t="s">
        <v>334</v>
      </c>
      <c r="H29" s="135"/>
      <c r="I29" s="135"/>
      <c r="J29" s="135"/>
      <c r="K29" s="135"/>
      <c r="L29" s="135"/>
    </row>
    <row r="30" spans="1:13" ht="15">
      <c r="H30" s="135"/>
      <c r="I30" s="135"/>
      <c r="J30" s="135"/>
      <c r="K30" s="135"/>
      <c r="L30" s="135"/>
    </row>
    <row r="31" spans="1:13" s="127" customFormat="1" ht="38.25">
      <c r="B31" s="128" t="s">
        <v>324</v>
      </c>
      <c r="C31" s="136" t="s">
        <v>349</v>
      </c>
      <c r="D31" s="136" t="s">
        <v>350</v>
      </c>
      <c r="E31" s="130" t="s">
        <v>327</v>
      </c>
      <c r="F31" s="129"/>
      <c r="G31" s="130" t="s">
        <v>335</v>
      </c>
      <c r="H31" s="129"/>
      <c r="I31" s="129" t="s">
        <v>329</v>
      </c>
      <c r="J31" s="129"/>
      <c r="K31" s="130" t="s">
        <v>330</v>
      </c>
      <c r="L31" s="129"/>
      <c r="M31" s="130" t="s">
        <v>331</v>
      </c>
    </row>
    <row r="32" spans="1:13">
      <c r="B32" s="149"/>
      <c r="C32" s="150"/>
      <c r="D32" s="150"/>
      <c r="E32" s="151"/>
      <c r="F32" s="131" t="str">
        <f t="shared" ref="F32:F36" si="6">IF(E32="","","x")</f>
        <v/>
      </c>
      <c r="G32" s="151"/>
      <c r="H32" s="132" t="str">
        <f t="shared" ref="H32:H36" si="7">IF(E32="","","=")</f>
        <v/>
      </c>
      <c r="I32" s="131" t="str">
        <f t="shared" ref="I32:I36" si="8">IF(E32="","",E32*G32)</f>
        <v/>
      </c>
      <c r="J32" s="131" t="str">
        <f t="shared" ref="J32:J36" si="9">IF(E32="","","x")</f>
        <v/>
      </c>
      <c r="K32" s="151"/>
      <c r="L32" s="131" t="str">
        <f t="shared" ref="L32:L36" si="10">IF(E32="","","=")</f>
        <v/>
      </c>
      <c r="M32" s="133" t="str">
        <f>IF(E32="","",I32*K32*-1)</f>
        <v/>
      </c>
    </row>
    <row r="33" spans="1:14">
      <c r="B33" s="149"/>
      <c r="C33" s="150"/>
      <c r="D33" s="150"/>
      <c r="E33" s="151"/>
      <c r="F33" s="131" t="str">
        <f t="shared" si="6"/>
        <v/>
      </c>
      <c r="G33" s="151"/>
      <c r="H33" s="132" t="str">
        <f t="shared" si="7"/>
        <v/>
      </c>
      <c r="I33" s="131" t="str">
        <f t="shared" si="8"/>
        <v/>
      </c>
      <c r="J33" s="131" t="str">
        <f t="shared" si="9"/>
        <v/>
      </c>
      <c r="K33" s="151"/>
      <c r="L33" s="131" t="str">
        <f t="shared" si="10"/>
        <v/>
      </c>
      <c r="M33" s="133" t="str">
        <f t="shared" ref="M33:M36" si="11">IF(E33="","",I33*K33*-1)</f>
        <v/>
      </c>
    </row>
    <row r="34" spans="1:14">
      <c r="B34" s="149"/>
      <c r="C34" s="150"/>
      <c r="D34" s="150"/>
      <c r="E34" s="151"/>
      <c r="F34" s="131" t="str">
        <f t="shared" si="6"/>
        <v/>
      </c>
      <c r="G34" s="151"/>
      <c r="H34" s="132" t="str">
        <f t="shared" si="7"/>
        <v/>
      </c>
      <c r="I34" s="131" t="str">
        <f t="shared" si="8"/>
        <v/>
      </c>
      <c r="J34" s="131" t="str">
        <f t="shared" si="9"/>
        <v/>
      </c>
      <c r="K34" s="151"/>
      <c r="L34" s="131" t="str">
        <f t="shared" si="10"/>
        <v/>
      </c>
      <c r="M34" s="133" t="str">
        <f t="shared" si="11"/>
        <v/>
      </c>
    </row>
    <row r="35" spans="1:14">
      <c r="B35" s="149"/>
      <c r="C35" s="150"/>
      <c r="D35" s="150"/>
      <c r="E35" s="151"/>
      <c r="F35" s="131" t="str">
        <f t="shared" si="6"/>
        <v/>
      </c>
      <c r="G35" s="151"/>
      <c r="H35" s="132" t="str">
        <f t="shared" si="7"/>
        <v/>
      </c>
      <c r="I35" s="131" t="str">
        <f t="shared" si="8"/>
        <v/>
      </c>
      <c r="J35" s="131" t="str">
        <f t="shared" si="9"/>
        <v/>
      </c>
      <c r="K35" s="151"/>
      <c r="L35" s="131" t="str">
        <f t="shared" si="10"/>
        <v/>
      </c>
      <c r="M35" s="133" t="str">
        <f t="shared" si="11"/>
        <v/>
      </c>
    </row>
    <row r="36" spans="1:14">
      <c r="B36" s="149"/>
      <c r="C36" s="150"/>
      <c r="D36" s="150"/>
      <c r="E36" s="151"/>
      <c r="F36" s="131" t="str">
        <f t="shared" si="6"/>
        <v/>
      </c>
      <c r="G36" s="151"/>
      <c r="H36" s="132" t="str">
        <f t="shared" si="7"/>
        <v/>
      </c>
      <c r="I36" s="131" t="str">
        <f t="shared" si="8"/>
        <v/>
      </c>
      <c r="J36" s="131" t="str">
        <f t="shared" si="9"/>
        <v/>
      </c>
      <c r="K36" s="151"/>
      <c r="L36" s="131" t="str">
        <f t="shared" si="10"/>
        <v/>
      </c>
      <c r="M36" s="133" t="str">
        <f t="shared" si="11"/>
        <v/>
      </c>
    </row>
    <row r="37" spans="1:14">
      <c r="B37" s="133"/>
      <c r="C37" s="133"/>
      <c r="D37" s="133"/>
      <c r="E37" s="133"/>
      <c r="F37" s="133"/>
      <c r="G37" s="133"/>
      <c r="H37" s="133"/>
      <c r="I37" s="133" t="s">
        <v>336</v>
      </c>
      <c r="J37" s="133"/>
      <c r="K37" s="133"/>
      <c r="L37" s="133"/>
      <c r="M37" s="134">
        <f>M27+SUM(M32:M36)</f>
        <v>15</v>
      </c>
    </row>
    <row r="38" spans="1:14" ht="15">
      <c r="H38" s="135"/>
      <c r="I38" s="135"/>
      <c r="J38" s="135"/>
      <c r="K38" s="135"/>
      <c r="L38" s="135"/>
    </row>
    <row r="39" spans="1:14" ht="15">
      <c r="H39" s="135"/>
      <c r="I39" s="135"/>
      <c r="J39" s="135"/>
      <c r="K39" s="135"/>
      <c r="L39" s="135"/>
      <c r="N39" s="137"/>
    </row>
    <row r="40" spans="1:14" ht="18">
      <c r="A40" s="123" t="s">
        <v>60</v>
      </c>
      <c r="B40" s="123" t="s">
        <v>337</v>
      </c>
    </row>
    <row r="41" spans="1:14">
      <c r="E41" s="119"/>
      <c r="F41" s="120"/>
      <c r="G41" s="119"/>
      <c r="H41" s="138"/>
    </row>
    <row r="42" spans="1:14" ht="38.25">
      <c r="C42" s="130" t="s">
        <v>338</v>
      </c>
      <c r="D42" s="129"/>
      <c r="E42" s="130" t="s">
        <v>331</v>
      </c>
      <c r="F42" s="129"/>
      <c r="G42" s="139" t="s">
        <v>339</v>
      </c>
      <c r="H42" s="139"/>
      <c r="I42" s="139" t="s">
        <v>340</v>
      </c>
      <c r="K42" s="139" t="s">
        <v>347</v>
      </c>
    </row>
    <row r="43" spans="1:14" s="21" customFormat="1">
      <c r="C43" s="140">
        <f>E9</f>
        <v>1566.4</v>
      </c>
      <c r="D43" s="131" t="str">
        <f>IF(C43=0,"","x")</f>
        <v>x</v>
      </c>
      <c r="E43" s="131">
        <f>M37</f>
        <v>15</v>
      </c>
      <c r="F43" s="141" t="str">
        <f>IF(C43=0,"","÷")</f>
        <v>÷</v>
      </c>
      <c r="G43" s="142">
        <f>Budgetsteigerung!M47</f>
        <v>3348626</v>
      </c>
      <c r="H43" s="143" t="str">
        <f>IF(C43=0,"","=")</f>
        <v>=</v>
      </c>
      <c r="I43" s="144">
        <f>IF(G43=0,"",ROUND(C43*E43/G43,5))</f>
        <v>7.0200000000000002E-3</v>
      </c>
      <c r="K43" s="145">
        <f>(C43*E43/(G43/12*O12))</f>
        <v>7.016609200310814E-3</v>
      </c>
    </row>
    <row r="45" spans="1:14">
      <c r="E45" s="121"/>
    </row>
    <row r="46" spans="1:14" ht="18">
      <c r="A46" s="123" t="s">
        <v>61</v>
      </c>
      <c r="B46" s="123" t="s">
        <v>341</v>
      </c>
    </row>
    <row r="48" spans="1:14" ht="25.5">
      <c r="C48" s="139" t="s">
        <v>342</v>
      </c>
    </row>
    <row r="49" spans="2:14">
      <c r="C49" s="146">
        <f>I43</f>
        <v>7.0200000000000002E-3</v>
      </c>
      <c r="D49" s="19" t="str">
        <f>IF(C49&gt;I43,N49,"")</f>
        <v/>
      </c>
      <c r="N49" s="23" t="str">
        <f>"Der Punktwertaufschlag in Höhe von "&amp;I43&amp;" Euro darf nicht überschritten werden"</f>
        <v>Der Punktwertaufschlag in Höhe von 0,00702 Euro darf nicht überschritten werden</v>
      </c>
    </row>
    <row r="51" spans="2:14">
      <c r="B51" s="19" t="s">
        <v>343</v>
      </c>
    </row>
    <row r="52" spans="2:14">
      <c r="B52" s="19" t="s">
        <v>344</v>
      </c>
    </row>
    <row r="53" spans="2:14">
      <c r="B53" s="19" t="s">
        <v>345</v>
      </c>
    </row>
    <row r="54" spans="2:14">
      <c r="B54" s="19" t="s">
        <v>346</v>
      </c>
    </row>
  </sheetData>
  <sheetProtection algorithmName="SHA-512" hashValue="9eEjwjsyu7eN85wZqEbyRpG7VZTqNnUftENn2itADb02fbZV8Yp47pQIK6mMKoiwKkRvNGsqiCpB/d+PZPrLFA==" saltValue="GSVHdCeLIF2m6GE92OF9MA==" spinCount="100000" sheet="1" objects="1" scenarios="1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43B2-EA51-4AFF-B777-C108932EE595}">
  <sheetPr>
    <tabColor rgb="FFC9FFC9"/>
  </sheetPr>
  <dimension ref="A1:N69"/>
  <sheetViews>
    <sheetView topLeftCell="A8" zoomScale="70" zoomScaleNormal="70" workbookViewId="0">
      <selection activeCell="B34" sqref="B34:D34"/>
    </sheetView>
  </sheetViews>
  <sheetFormatPr baseColWidth="10" defaultColWidth="11.28515625" defaultRowHeight="15"/>
  <cols>
    <col min="1" max="1" width="5.140625" style="203" customWidth="1"/>
    <col min="2" max="2" width="11.7109375" style="203" customWidth="1"/>
    <col min="3" max="3" width="5" style="203" customWidth="1"/>
    <col min="4" max="4" width="22.140625" style="203" customWidth="1"/>
    <col min="5" max="5" width="14" style="203" customWidth="1"/>
    <col min="6" max="6" width="3.5703125" style="203" customWidth="1"/>
    <col min="7" max="7" width="14" style="203" customWidth="1"/>
    <col min="8" max="8" width="5.7109375" style="210" customWidth="1"/>
    <col min="9" max="9" width="25.7109375" style="203" customWidth="1"/>
    <col min="10" max="10" width="1.7109375" style="203" customWidth="1"/>
    <col min="11" max="11" width="25.5703125" style="203" bestFit="1" customWidth="1"/>
    <col min="12" max="12" width="17.7109375" style="203" customWidth="1"/>
    <col min="13" max="13" width="9.7109375" style="203" customWidth="1"/>
    <col min="14" max="16384" width="11.28515625" style="203"/>
  </cols>
  <sheetData>
    <row r="1" spans="1:12" s="228" customFormat="1" ht="18" customHeight="1">
      <c r="A1" s="227" t="s">
        <v>379</v>
      </c>
      <c r="B1" s="231" t="s">
        <v>380</v>
      </c>
      <c r="C1" s="227"/>
      <c r="D1" s="227"/>
      <c r="E1" s="227"/>
      <c r="H1" s="229"/>
    </row>
    <row r="2" spans="1:12" ht="17.25" customHeight="1">
      <c r="I2" s="232"/>
      <c r="K2" s="232"/>
    </row>
    <row r="3" spans="1:12" ht="17.25" customHeight="1">
      <c r="B3" s="203" t="s">
        <v>381</v>
      </c>
      <c r="E3" s="463">
        <v>1500</v>
      </c>
      <c r="F3" s="463"/>
      <c r="G3" s="463"/>
    </row>
    <row r="4" spans="1:12" ht="17.25" customHeight="1">
      <c r="B4" s="203" t="s">
        <v>382</v>
      </c>
      <c r="E4" s="464" t="s">
        <v>285</v>
      </c>
      <c r="F4" s="465"/>
      <c r="G4" s="466"/>
      <c r="K4" s="233" t="s">
        <v>203</v>
      </c>
      <c r="L4" s="234">
        <v>49000</v>
      </c>
    </row>
    <row r="5" spans="1:12" ht="17.25" customHeight="1">
      <c r="K5" s="233" t="s">
        <v>309</v>
      </c>
      <c r="L5" s="234">
        <v>53000</v>
      </c>
    </row>
    <row r="6" spans="1:12" ht="17.25" customHeight="1">
      <c r="B6" s="211"/>
      <c r="C6" s="235" t="s">
        <v>383</v>
      </c>
      <c r="D6" s="211" t="s">
        <v>384</v>
      </c>
      <c r="I6" s="236">
        <v>1200</v>
      </c>
      <c r="K6" s="233" t="s">
        <v>285</v>
      </c>
      <c r="L6" s="234">
        <v>55000</v>
      </c>
    </row>
    <row r="7" spans="1:12" ht="16.5" customHeight="1">
      <c r="C7" s="235"/>
      <c r="D7" s="211"/>
      <c r="I7" s="237"/>
      <c r="K7" s="238"/>
      <c r="L7" s="238"/>
    </row>
    <row r="8" spans="1:12" ht="16.5" customHeight="1">
      <c r="C8" s="235" t="s">
        <v>385</v>
      </c>
      <c r="D8" s="211" t="s">
        <v>386</v>
      </c>
      <c r="I8" s="237"/>
    </row>
    <row r="9" spans="1:12" ht="17.25" customHeight="1">
      <c r="D9" s="203" t="s">
        <v>387</v>
      </c>
      <c r="E9" s="239">
        <v>120</v>
      </c>
      <c r="G9" s="467">
        <f t="shared" ref="G9" si="0">VLOOKUP($E$4,$K$4:$L$6,2)</f>
        <v>55000</v>
      </c>
      <c r="H9" s="468" t="s">
        <v>388</v>
      </c>
      <c r="K9" s="238"/>
    </row>
    <row r="10" spans="1:12" ht="17.25" customHeight="1">
      <c r="D10" s="203" t="s">
        <v>389</v>
      </c>
      <c r="E10" s="239">
        <f>E9*0.1</f>
        <v>12</v>
      </c>
      <c r="G10" s="467"/>
      <c r="H10" s="468"/>
      <c r="K10" s="238"/>
    </row>
    <row r="11" spans="1:12" ht="17.25" customHeight="1">
      <c r="C11" s="235"/>
      <c r="D11" s="203" t="s">
        <v>390</v>
      </c>
      <c r="E11" s="239">
        <f>2*39</f>
        <v>78</v>
      </c>
      <c r="G11" s="467"/>
      <c r="H11" s="468"/>
    </row>
    <row r="12" spans="1:12" ht="17.25" customHeight="1">
      <c r="A12" s="240"/>
      <c r="B12" s="240"/>
      <c r="C12" s="241"/>
      <c r="E12" s="242">
        <f>SUM(E9:E11)</f>
        <v>210</v>
      </c>
      <c r="G12" s="243">
        <f>ROUND(G9/$E$3,2)</f>
        <v>36.67</v>
      </c>
      <c r="H12" s="203"/>
      <c r="I12" s="204">
        <f>E12*G12</f>
        <v>7700.7000000000007</v>
      </c>
    </row>
    <row r="13" spans="1:12" ht="17.25" customHeight="1" thickBot="1">
      <c r="C13" s="235"/>
      <c r="L13" s="244"/>
    </row>
    <row r="14" spans="1:12" ht="17.25" customHeight="1" thickBot="1">
      <c r="C14" s="235"/>
      <c r="I14" s="245">
        <f>SUM(I6:I12)</f>
        <v>8900.7000000000007</v>
      </c>
      <c r="L14" s="244"/>
    </row>
    <row r="15" spans="1:12" ht="17.25" customHeight="1">
      <c r="D15" s="246"/>
      <c r="E15" s="247"/>
      <c r="F15" s="248"/>
      <c r="G15" s="249"/>
      <c r="L15" s="244"/>
    </row>
    <row r="16" spans="1:12" s="228" customFormat="1" ht="18" customHeight="1">
      <c r="A16" s="227" t="s">
        <v>59</v>
      </c>
      <c r="B16" s="231" t="s">
        <v>391</v>
      </c>
      <c r="E16" s="195"/>
      <c r="H16" s="229"/>
      <c r="K16" s="203"/>
    </row>
    <row r="17" spans="1:9" ht="18" customHeight="1"/>
    <row r="18" spans="1:9" ht="18" customHeight="1">
      <c r="C18" s="235" t="s">
        <v>383</v>
      </c>
      <c r="D18" s="211" t="s">
        <v>384</v>
      </c>
      <c r="I18" s="236">
        <v>300</v>
      </c>
    </row>
    <row r="19" spans="1:9" ht="18" customHeight="1">
      <c r="C19" s="235"/>
      <c r="D19" s="211"/>
      <c r="I19" s="237"/>
    </row>
    <row r="20" spans="1:9" ht="18" customHeight="1">
      <c r="C20" s="235" t="s">
        <v>385</v>
      </c>
      <c r="D20" s="211" t="s">
        <v>386</v>
      </c>
      <c r="I20" s="237"/>
    </row>
    <row r="21" spans="1:9" ht="18" customHeight="1">
      <c r="D21" s="203" t="s">
        <v>387</v>
      </c>
      <c r="E21" s="239">
        <v>12</v>
      </c>
      <c r="G21" s="467">
        <f>G9</f>
        <v>55000</v>
      </c>
      <c r="H21" s="468" t="s">
        <v>388</v>
      </c>
    </row>
    <row r="22" spans="1:9" ht="18" customHeight="1">
      <c r="C22" s="235"/>
      <c r="D22" s="203" t="s">
        <v>389</v>
      </c>
      <c r="E22" s="239">
        <f>E21*0.1</f>
        <v>1.2000000000000002</v>
      </c>
      <c r="G22" s="467"/>
      <c r="H22" s="468"/>
    </row>
    <row r="23" spans="1:9" ht="18" customHeight="1">
      <c r="C23" s="241"/>
      <c r="E23" s="242">
        <f>SUM(E21:E22)</f>
        <v>13.2</v>
      </c>
      <c r="G23" s="243">
        <f>ROUND(G21/$E$3,2)</f>
        <v>36.67</v>
      </c>
      <c r="H23" s="203"/>
      <c r="I23" s="204">
        <f>E23*G23</f>
        <v>484.04399999999998</v>
      </c>
    </row>
    <row r="24" spans="1:9" ht="18" customHeight="1" thickBot="1">
      <c r="C24" s="235"/>
    </row>
    <row r="25" spans="1:9" ht="18" customHeight="1" thickBot="1">
      <c r="C25" s="235"/>
      <c r="I25" s="245">
        <f>SUM(I18:I23)</f>
        <v>784.04399999999998</v>
      </c>
    </row>
    <row r="26" spans="1:9">
      <c r="E26" s="209"/>
    </row>
    <row r="27" spans="1:9" s="228" customFormat="1" ht="18">
      <c r="A27" s="227" t="s">
        <v>60</v>
      </c>
      <c r="B27" s="231" t="s">
        <v>392</v>
      </c>
      <c r="H27" s="229"/>
      <c r="I27" s="227"/>
    </row>
    <row r="28" spans="1:9" ht="7.9" customHeight="1">
      <c r="A28" s="211"/>
    </row>
    <row r="29" spans="1:9" s="228" customFormat="1" ht="18">
      <c r="A29" s="227" t="s">
        <v>393</v>
      </c>
      <c r="B29" s="227" t="s">
        <v>394</v>
      </c>
      <c r="H29" s="229"/>
      <c r="I29" s="227"/>
    </row>
    <row r="30" spans="1:9" ht="7.5" customHeight="1">
      <c r="B30" s="211"/>
      <c r="C30" s="211"/>
      <c r="D30" s="211"/>
    </row>
    <row r="31" spans="1:9" ht="15.75">
      <c r="B31" s="459" t="s">
        <v>395</v>
      </c>
      <c r="C31" s="459"/>
      <c r="D31" s="459"/>
      <c r="H31" s="203"/>
      <c r="I31" s="230" t="s">
        <v>396</v>
      </c>
    </row>
    <row r="32" spans="1:9" s="201" customFormat="1">
      <c r="B32" s="456"/>
      <c r="C32" s="457"/>
      <c r="D32" s="458"/>
      <c r="I32" s="202">
        <f t="shared" ref="I32:I37" si="1">IF(B32&lt;&gt;"",$I$14,0)</f>
        <v>0</v>
      </c>
    </row>
    <row r="33" spans="1:9" s="201" customFormat="1">
      <c r="B33" s="456"/>
      <c r="C33" s="457"/>
      <c r="D33" s="458"/>
      <c r="I33" s="202">
        <f t="shared" si="1"/>
        <v>0</v>
      </c>
    </row>
    <row r="34" spans="1:9" s="201" customFormat="1">
      <c r="B34" s="456"/>
      <c r="C34" s="457"/>
      <c r="D34" s="458"/>
      <c r="I34" s="202">
        <f t="shared" si="1"/>
        <v>0</v>
      </c>
    </row>
    <row r="35" spans="1:9" s="201" customFormat="1">
      <c r="B35" s="456"/>
      <c r="C35" s="457"/>
      <c r="D35" s="458"/>
      <c r="I35" s="202">
        <f t="shared" si="1"/>
        <v>0</v>
      </c>
    </row>
    <row r="36" spans="1:9" s="201" customFormat="1">
      <c r="B36" s="456"/>
      <c r="C36" s="457"/>
      <c r="D36" s="458"/>
      <c r="I36" s="202">
        <f t="shared" si="1"/>
        <v>0</v>
      </c>
    </row>
    <row r="37" spans="1:9" s="201" customFormat="1">
      <c r="B37" s="456"/>
      <c r="C37" s="457"/>
      <c r="D37" s="458"/>
      <c r="I37" s="202">
        <f t="shared" si="1"/>
        <v>0</v>
      </c>
    </row>
    <row r="38" spans="1:9" ht="15.75">
      <c r="H38" s="203"/>
      <c r="I38" s="204">
        <f>SUM(I32:I37)</f>
        <v>0</v>
      </c>
    </row>
    <row r="39" spans="1:9" ht="15.75">
      <c r="H39" s="203"/>
      <c r="I39" s="205"/>
    </row>
    <row r="40" spans="1:9" s="228" customFormat="1" ht="18">
      <c r="A40" s="227" t="s">
        <v>397</v>
      </c>
      <c r="B40" s="227" t="s">
        <v>398</v>
      </c>
      <c r="H40" s="229"/>
      <c r="I40" s="227"/>
    </row>
    <row r="41" spans="1:9" ht="7.5" customHeight="1"/>
    <row r="42" spans="1:9" ht="15.75" customHeight="1">
      <c r="B42" s="460" t="s">
        <v>395</v>
      </c>
      <c r="C42" s="461"/>
      <c r="D42" s="462"/>
      <c r="H42" s="203"/>
      <c r="I42" s="230" t="s">
        <v>396</v>
      </c>
    </row>
    <row r="43" spans="1:9" s="201" customFormat="1">
      <c r="B43" s="197"/>
      <c r="C43" s="198"/>
      <c r="D43" s="199"/>
      <c r="I43" s="202">
        <f t="shared" ref="I43:I45" si="2">IF(B43&lt;&gt;"",$I$25,0)</f>
        <v>0</v>
      </c>
    </row>
    <row r="44" spans="1:9" s="201" customFormat="1">
      <c r="B44" s="197"/>
      <c r="C44" s="198"/>
      <c r="D44" s="199"/>
      <c r="I44" s="202">
        <f t="shared" si="2"/>
        <v>0</v>
      </c>
    </row>
    <row r="45" spans="1:9" s="201" customFormat="1">
      <c r="B45" s="456"/>
      <c r="C45" s="457"/>
      <c r="D45" s="458"/>
      <c r="I45" s="202">
        <f t="shared" si="2"/>
        <v>0</v>
      </c>
    </row>
    <row r="46" spans="1:9" s="201" customFormat="1">
      <c r="B46" s="456"/>
      <c r="C46" s="457"/>
      <c r="D46" s="458"/>
      <c r="I46" s="202">
        <f t="shared" ref="I46:I48" si="3">IF(B46&lt;&gt;"",$I$25,0)</f>
        <v>0</v>
      </c>
    </row>
    <row r="47" spans="1:9" s="201" customFormat="1">
      <c r="B47" s="456"/>
      <c r="C47" s="457"/>
      <c r="D47" s="458"/>
      <c r="I47" s="202">
        <f t="shared" si="3"/>
        <v>0</v>
      </c>
    </row>
    <row r="48" spans="1:9" s="201" customFormat="1">
      <c r="B48" s="456"/>
      <c r="C48" s="457"/>
      <c r="D48" s="458"/>
      <c r="I48" s="202">
        <f t="shared" si="3"/>
        <v>0</v>
      </c>
    </row>
    <row r="49" spans="1:14" ht="15.75">
      <c r="H49" s="203"/>
      <c r="I49" s="204">
        <f>SUM(I43:I48)</f>
        <v>0</v>
      </c>
    </row>
    <row r="50" spans="1:14" ht="15.75">
      <c r="H50" s="203"/>
      <c r="I50" s="205"/>
    </row>
    <row r="51" spans="1:14" s="208" customFormat="1" ht="18">
      <c r="A51" s="206" t="s">
        <v>61</v>
      </c>
      <c r="B51" s="207" t="s">
        <v>337</v>
      </c>
    </row>
    <row r="52" spans="1:14" ht="15.75">
      <c r="H52" s="203"/>
      <c r="I52" s="205"/>
    </row>
    <row r="53" spans="1:14">
      <c r="E53" s="209"/>
    </row>
    <row r="54" spans="1:14" ht="15.75">
      <c r="B54" s="211" t="s">
        <v>399</v>
      </c>
      <c r="I54" s="212">
        <f>Budgetsteigerung!M47</f>
        <v>3348626</v>
      </c>
    </row>
    <row r="55" spans="1:14" ht="15.75">
      <c r="I55" s="211"/>
    </row>
    <row r="56" spans="1:14" ht="15.75">
      <c r="B56" s="211" t="s">
        <v>400</v>
      </c>
      <c r="I56" s="213">
        <f>I38+I49</f>
        <v>0</v>
      </c>
    </row>
    <row r="57" spans="1:14" ht="15.75" thickBot="1"/>
    <row r="58" spans="1:14" ht="15.75">
      <c r="B58" s="214" t="s">
        <v>401</v>
      </c>
      <c r="C58" s="215"/>
      <c r="D58" s="215"/>
      <c r="E58" s="215"/>
      <c r="F58" s="215"/>
      <c r="G58" s="216">
        <v>1</v>
      </c>
      <c r="H58" s="217"/>
      <c r="I58" s="218">
        <f>I38/I54</f>
        <v>0</v>
      </c>
    </row>
    <row r="59" spans="1:14" ht="16.5" thickBot="1">
      <c r="B59" s="219" t="s">
        <v>402</v>
      </c>
      <c r="C59" s="220"/>
      <c r="D59" s="220"/>
      <c r="E59" s="220"/>
      <c r="F59" s="220"/>
      <c r="G59" s="221">
        <v>1</v>
      </c>
      <c r="H59" s="222"/>
      <c r="I59" s="223">
        <f>I49/I54</f>
        <v>0</v>
      </c>
    </row>
    <row r="61" spans="1:14" s="208" customFormat="1" ht="18">
      <c r="A61" s="206" t="s">
        <v>403</v>
      </c>
      <c r="B61" s="207" t="s">
        <v>341</v>
      </c>
    </row>
    <row r="62" spans="1:14" s="208" customFormat="1" ht="12.75"/>
    <row r="63" spans="1:14" s="208" customFormat="1" ht="31.5">
      <c r="I63" s="224" t="s">
        <v>342</v>
      </c>
    </row>
    <row r="64" spans="1:14" s="208" customFormat="1" ht="15.75">
      <c r="D64" s="208" t="s">
        <v>404</v>
      </c>
      <c r="I64" s="225">
        <f>SUMPRODUCT(G58:G59,I58:I59)</f>
        <v>0</v>
      </c>
      <c r="N64" s="226" t="s">
        <v>405</v>
      </c>
    </row>
    <row r="66" spans="1:1">
      <c r="A66" s="208" t="s">
        <v>406</v>
      </c>
    </row>
    <row r="67" spans="1:1">
      <c r="A67" s="208" t="s">
        <v>407</v>
      </c>
    </row>
    <row r="68" spans="1:1">
      <c r="A68" s="208" t="s">
        <v>408</v>
      </c>
    </row>
    <row r="69" spans="1:1">
      <c r="A69" s="208" t="s">
        <v>409</v>
      </c>
    </row>
  </sheetData>
  <sheetProtection algorithmName="SHA-512" hashValue="h4fQP/Djc6QU3F6sBD6Hbl6/hbLiGfZT2f6HivHorJyL90L/RuZNB3vGZbvapH7/tCw6glQTu3rvuHvGcgJQLw==" saltValue="DCPb+QXXBQdKCyY3Rof2xQ==" spinCount="100000" sheet="1" objects="1" scenarios="1"/>
  <mergeCells count="18">
    <mergeCell ref="E3:G3"/>
    <mergeCell ref="E4:G4"/>
    <mergeCell ref="G9:G11"/>
    <mergeCell ref="H9:H11"/>
    <mergeCell ref="G21:G22"/>
    <mergeCell ref="H21:H22"/>
    <mergeCell ref="B48:D48"/>
    <mergeCell ref="B31:D31"/>
    <mergeCell ref="B32:D32"/>
    <mergeCell ref="B33:D33"/>
    <mergeCell ref="B34:D34"/>
    <mergeCell ref="B35:D35"/>
    <mergeCell ref="B36:D36"/>
    <mergeCell ref="B37:D37"/>
    <mergeCell ref="B42:D42"/>
    <mergeCell ref="B45:D45"/>
    <mergeCell ref="B46:D46"/>
    <mergeCell ref="B47:D47"/>
  </mergeCells>
  <dataValidations count="1">
    <dataValidation type="list" allowBlank="1" showInputMessage="1" showErrorMessage="1" sqref="E4:G4" xr:uid="{D6A21187-9CE7-4DDD-AFCA-320B80F4405B}">
      <formula1>$K$4:$K$6</formula1>
    </dataValidation>
  </dataValidation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A149"/>
  <sheetViews>
    <sheetView topLeftCell="A16" workbookViewId="0">
      <selection sqref="A1:A1048576"/>
    </sheetView>
  </sheetViews>
  <sheetFormatPr baseColWidth="10" defaultRowHeight="12.75"/>
  <sheetData>
    <row r="1" spans="1:1">
      <c r="A1" t="s">
        <v>354</v>
      </c>
    </row>
    <row r="3" spans="1:1">
      <c r="A3" t="str">
        <f>Dateneingabe!A4</f>
        <v>Pflegedienst MORO GmbH</v>
      </c>
    </row>
    <row r="4" spans="1:1">
      <c r="A4" t="str">
        <f>Dateneingabe!A5</f>
        <v>Provinzialstr. 82</v>
      </c>
    </row>
    <row r="5" spans="1:1">
      <c r="A5">
        <f>Dateneingabe!A6</f>
        <v>44388</v>
      </c>
    </row>
    <row r="6" spans="1:1">
      <c r="A6" t="str">
        <f>Dateneingabe!C6</f>
        <v>Dortmund</v>
      </c>
    </row>
    <row r="8" spans="1:1">
      <c r="A8" t="str">
        <f>Dateneingabe!E4</f>
        <v>Pflegedienst MORO GmbH</v>
      </c>
    </row>
    <row r="9" spans="1:1">
      <c r="A9" t="str">
        <f>Dateneingabe!E5</f>
        <v>Provinzialstr. 82</v>
      </c>
    </row>
    <row r="10" spans="1:1">
      <c r="A10">
        <f>Dateneingabe!E6</f>
        <v>44388</v>
      </c>
    </row>
    <row r="11" spans="1:1">
      <c r="A11" t="str">
        <f>Dateneingabe!F6</f>
        <v>Dortmund</v>
      </c>
    </row>
    <row r="13" spans="1:1">
      <c r="A13" t="str">
        <f>Dateneingabe!D8</f>
        <v>460 502 542</v>
      </c>
    </row>
    <row r="14" spans="1:1">
      <c r="A14" t="str">
        <f>Dateneingabe!F8</f>
        <v>Dortmund</v>
      </c>
    </row>
    <row r="16" spans="1:1">
      <c r="A16" t="str">
        <f>Dateneingabe!C10</f>
        <v>bpa</v>
      </c>
    </row>
    <row r="17" spans="1:1">
      <c r="A17" t="s">
        <v>411</v>
      </c>
    </row>
    <row r="18" spans="1:1">
      <c r="A18" t="str">
        <f>Dateneingabe!C13</f>
        <v>Pauschalverhandlung</v>
      </c>
    </row>
    <row r="20" spans="1:1">
      <c r="A20" s="166">
        <f>Dateneingabe!E16</f>
        <v>45292</v>
      </c>
    </row>
    <row r="21" spans="1:1">
      <c r="A21" s="166">
        <f>Dateneingabe!F16</f>
        <v>45657</v>
      </c>
    </row>
    <row r="22" spans="1:1">
      <c r="A22" s="166">
        <f>Dateneingabe!E17</f>
        <v>46023</v>
      </c>
    </row>
    <row r="23" spans="1:1">
      <c r="A23" s="166">
        <f>Dateneingabe!F17</f>
        <v>46387</v>
      </c>
    </row>
    <row r="25" spans="1:1">
      <c r="A25">
        <f>Dateneingabe!C20</f>
        <v>6.0760000000000002E-2</v>
      </c>
    </row>
    <row r="26" spans="1:1">
      <c r="A26">
        <f>Dateneingabe!D20</f>
        <v>5.59</v>
      </c>
    </row>
    <row r="27" spans="1:1">
      <c r="A27">
        <f>Dateneingabe!E20</f>
        <v>6.97</v>
      </c>
    </row>
    <row r="28" spans="1:1">
      <c r="A28">
        <f>Dateneingabe!C21</f>
        <v>6.2890000000000001E-2</v>
      </c>
    </row>
    <row r="29" spans="1:1">
      <c r="A29">
        <f>Dateneingabe!D21</f>
        <v>5.79</v>
      </c>
    </row>
    <row r="30" spans="1:1">
      <c r="A30">
        <f>Dateneingabe!E21</f>
        <v>7.21</v>
      </c>
    </row>
    <row r="32" spans="1:1">
      <c r="A32">
        <f>Dateneingabe!A31</f>
        <v>5</v>
      </c>
    </row>
    <row r="33" spans="1:1">
      <c r="A33">
        <f>Dateneingabe!C31</f>
        <v>40</v>
      </c>
    </row>
    <row r="34" spans="1:1">
      <c r="A34">
        <f>Dateneingabe!D31</f>
        <v>12</v>
      </c>
    </row>
    <row r="35" spans="1:1">
      <c r="A35">
        <f>Dateneingabe!E31</f>
        <v>10</v>
      </c>
    </row>
    <row r="36" spans="1:1">
      <c r="A36">
        <f>Dateneingabe!F31</f>
        <v>3</v>
      </c>
    </row>
    <row r="38" spans="1:1">
      <c r="A38" s="167">
        <f>Dateneingabe!F35</f>
        <v>1223</v>
      </c>
    </row>
    <row r="39" spans="1:1">
      <c r="A39" s="167">
        <f>Dateneingabe!F36</f>
        <v>1363</v>
      </c>
    </row>
    <row r="40" spans="1:1">
      <c r="A40" s="167">
        <f>Dateneingabe!F37</f>
        <v>73</v>
      </c>
    </row>
    <row r="41" spans="1:1">
      <c r="A41" s="167">
        <f>Dateneingabe!F38</f>
        <v>751</v>
      </c>
    </row>
    <row r="42" spans="1:1">
      <c r="A42" s="167">
        <f>Dateneingabe!F39</f>
        <v>0</v>
      </c>
    </row>
    <row r="43" spans="1:1">
      <c r="A43" s="167">
        <f>Dateneingabe!F40</f>
        <v>314</v>
      </c>
    </row>
    <row r="44" spans="1:1">
      <c r="A44" s="167">
        <f>Dateneingabe!F41</f>
        <v>0</v>
      </c>
    </row>
    <row r="45" spans="1:1">
      <c r="A45" s="167">
        <f>Dateneingabe!F42</f>
        <v>0</v>
      </c>
    </row>
    <row r="46" spans="1:1">
      <c r="A46" s="167">
        <f>Dateneingabe!F43</f>
        <v>0</v>
      </c>
    </row>
    <row r="47" spans="1:1">
      <c r="A47" s="167">
        <f>Dateneingabe!F44</f>
        <v>0</v>
      </c>
    </row>
    <row r="48" spans="1:1">
      <c r="A48" s="167">
        <f>Dateneingabe!F45</f>
        <v>116</v>
      </c>
    </row>
    <row r="49" spans="1:1">
      <c r="A49" s="167">
        <f>Dateneingabe!F46</f>
        <v>0</v>
      </c>
    </row>
    <row r="50" spans="1:1">
      <c r="A50" s="167">
        <f>Dateneingabe!F47</f>
        <v>252</v>
      </c>
    </row>
    <row r="51" spans="1:1">
      <c r="A51" s="167">
        <f>Dateneingabe!F48</f>
        <v>32</v>
      </c>
    </row>
    <row r="52" spans="1:1">
      <c r="A52" s="167">
        <f>Dateneingabe!F49</f>
        <v>7159</v>
      </c>
    </row>
    <row r="53" spans="1:1">
      <c r="A53" s="167">
        <f>Dateneingabe!F50</f>
        <v>1586</v>
      </c>
    </row>
    <row r="54" spans="1:1">
      <c r="A54" s="167">
        <f>Dateneingabe!F51</f>
        <v>0</v>
      </c>
    </row>
    <row r="55" spans="1:1">
      <c r="A55" s="167">
        <f>Dateneingabe!F52</f>
        <v>0</v>
      </c>
    </row>
    <row r="56" spans="1:1">
      <c r="A56" s="167">
        <f>Dateneingabe!F53</f>
        <v>343</v>
      </c>
    </row>
    <row r="57" spans="1:1">
      <c r="A57" s="167">
        <f>Dateneingabe!F54</f>
        <v>15</v>
      </c>
    </row>
    <row r="58" spans="1:1">
      <c r="A58" s="167">
        <f>Dateneingabe!F55</f>
        <v>827</v>
      </c>
    </row>
    <row r="59" spans="1:1">
      <c r="A59" s="167">
        <f>Dateneingabe!F56</f>
        <v>0</v>
      </c>
    </row>
    <row r="60" spans="1:1">
      <c r="A60" s="167">
        <f>Dateneingabe!F57</f>
        <v>679</v>
      </c>
    </row>
    <row r="61" spans="1:1">
      <c r="A61" s="167">
        <f>Dateneingabe!F58</f>
        <v>109</v>
      </c>
    </row>
    <row r="62" spans="1:1">
      <c r="A62" s="167">
        <f>Dateneingabe!F59</f>
        <v>781</v>
      </c>
    </row>
    <row r="63" spans="1:1">
      <c r="A63" s="167">
        <f>Dateneingabe!F60</f>
        <v>0</v>
      </c>
    </row>
    <row r="64" spans="1:1">
      <c r="A64" s="167">
        <f>Dateneingabe!F61</f>
        <v>1445</v>
      </c>
    </row>
    <row r="65" spans="1:1">
      <c r="A65" s="167">
        <f>Dateneingabe!F62</f>
        <v>0</v>
      </c>
    </row>
    <row r="66" spans="1:1">
      <c r="A66" s="167">
        <f>Dateneingabe!F63</f>
        <v>23</v>
      </c>
    </row>
    <row r="67" spans="1:1">
      <c r="A67" s="167">
        <f>Dateneingabe!F64</f>
        <v>475</v>
      </c>
    </row>
    <row r="68" spans="1:1">
      <c r="A68" s="167">
        <f>Dateneingabe!F65</f>
        <v>477</v>
      </c>
    </row>
    <row r="69" spans="1:1">
      <c r="A69" s="167">
        <f>Dateneingabe!F66</f>
        <v>69</v>
      </c>
    </row>
    <row r="70" spans="1:1">
      <c r="A70" s="167">
        <f>Dateneingabe!F67</f>
        <v>0</v>
      </c>
    </row>
    <row r="71" spans="1:1">
      <c r="A71" s="167">
        <f>Dateneingabe!F68</f>
        <v>0</v>
      </c>
    </row>
    <row r="72" spans="1:1">
      <c r="A72" s="167">
        <f>Dateneingabe!F69</f>
        <v>0</v>
      </c>
    </row>
    <row r="75" spans="1:1">
      <c r="A75">
        <f>Dateneingabe!D80</f>
        <v>2.2200000000000002</v>
      </c>
    </row>
    <row r="76" spans="1:1">
      <c r="A76">
        <f>Dateneingabe!D81</f>
        <v>0.16</v>
      </c>
    </row>
    <row r="77" spans="1:1">
      <c r="A77">
        <f>Dateneingabe!D82</f>
        <v>3.78</v>
      </c>
    </row>
    <row r="78" spans="1:1">
      <c r="A78">
        <f>Dateneingabe!D83</f>
        <v>0</v>
      </c>
    </row>
    <row r="79" spans="1:1">
      <c r="A79">
        <f>Dateneingabe!D84</f>
        <v>0</v>
      </c>
    </row>
    <row r="80" spans="1:1">
      <c r="A80">
        <f>Dateneingabe!D85</f>
        <v>6.16</v>
      </c>
    </row>
    <row r="82" spans="1:1">
      <c r="A82">
        <f>Dateneingabe!D87</f>
        <v>0.76</v>
      </c>
    </row>
    <row r="83" spans="1:1">
      <c r="A83">
        <f>Dateneingabe!D88</f>
        <v>6.92</v>
      </c>
    </row>
    <row r="85" spans="1:1">
      <c r="A85">
        <f>Dateneingabe!D90</f>
        <v>2</v>
      </c>
    </row>
    <row r="86" spans="1:1">
      <c r="A86" s="168">
        <f>Dateneingabe!D92</f>
        <v>3.2099999999999997E-2</v>
      </c>
    </row>
    <row r="88" spans="1:1">
      <c r="A88" t="str">
        <f>Dateneingabe!A100</f>
        <v>regional übliches Entgelt</v>
      </c>
    </row>
    <row r="89" spans="1:1">
      <c r="A89" t="str">
        <f>Dateneingabe!A102</f>
        <v>regional übliches Entgelt</v>
      </c>
    </row>
    <row r="90" spans="1:1">
      <c r="A90" t="s">
        <v>412</v>
      </c>
    </row>
    <row r="91" spans="1:1">
      <c r="A91" s="169">
        <f>Dateneingabe!D104</f>
        <v>39</v>
      </c>
    </row>
    <row r="95" spans="1:1">
      <c r="A95" t="s">
        <v>355</v>
      </c>
    </row>
    <row r="97" spans="1:1">
      <c r="A97">
        <f>'Anlage 1'!D14</f>
        <v>0.76</v>
      </c>
    </row>
    <row r="98" spans="1:1">
      <c r="A98">
        <f>'Anlage 1'!D15</f>
        <v>2.2200000000000002</v>
      </c>
    </row>
    <row r="99" spans="1:1">
      <c r="A99">
        <f>'Anlage 1'!D16</f>
        <v>0.16</v>
      </c>
    </row>
    <row r="100" spans="1:1">
      <c r="A100">
        <f>'Anlage 1'!D17</f>
        <v>3.63</v>
      </c>
    </row>
    <row r="101" spans="1:1">
      <c r="A101">
        <f>'Anlage 1'!D18</f>
        <v>0</v>
      </c>
    </row>
    <row r="102" spans="1:1">
      <c r="A102">
        <f>'Anlage 1'!D19</f>
        <v>0</v>
      </c>
    </row>
    <row r="104" spans="1:1">
      <c r="A104" s="170">
        <f>'Anlage 1'!E14</f>
        <v>36483.94</v>
      </c>
    </row>
    <row r="105" spans="1:1">
      <c r="A105" s="170">
        <f>'Anlage 1'!E15</f>
        <v>166043.46</v>
      </c>
    </row>
    <row r="106" spans="1:1">
      <c r="A106" s="170">
        <f>'Anlage 1'!E16</f>
        <v>8639.7099999999991</v>
      </c>
    </row>
    <row r="107" spans="1:1">
      <c r="A107" s="170">
        <f>'Anlage 1'!E17</f>
        <v>156134.69</v>
      </c>
    </row>
    <row r="108" spans="1:1">
      <c r="A108" s="170">
        <f>'Anlage 1'!E18</f>
        <v>0</v>
      </c>
    </row>
    <row r="109" spans="1:1">
      <c r="A109" s="170">
        <f>'Anlage 1'!E19</f>
        <v>0</v>
      </c>
    </row>
    <row r="110" spans="1:1">
      <c r="A110" s="170"/>
    </row>
    <row r="111" spans="1:1">
      <c r="A111" s="171">
        <f>'Anlage 1'!G14</f>
        <v>0</v>
      </c>
    </row>
    <row r="112" spans="1:1">
      <c r="A112" s="171">
        <f>'Anlage 1'!G15</f>
        <v>0</v>
      </c>
    </row>
    <row r="113" spans="1:1">
      <c r="A113" s="171">
        <f>'Anlage 1'!G16</f>
        <v>0</v>
      </c>
    </row>
    <row r="114" spans="1:1">
      <c r="A114" s="171">
        <f>'Anlage 1'!G17</f>
        <v>0</v>
      </c>
    </row>
    <row r="115" spans="1:1">
      <c r="A115" s="171">
        <f>'Anlage 1'!G18</f>
        <v>0</v>
      </c>
    </row>
    <row r="116" spans="1:1">
      <c r="A116" s="171">
        <f>'Anlage 1'!G19</f>
        <v>0</v>
      </c>
    </row>
    <row r="117" spans="1:1">
      <c r="A117" s="171"/>
    </row>
    <row r="118" spans="1:1">
      <c r="A118" s="170">
        <f>'Anlage 1'!H14</f>
        <v>0</v>
      </c>
    </row>
    <row r="119" spans="1:1">
      <c r="A119" s="170">
        <f>'Anlage 1'!H15</f>
        <v>0</v>
      </c>
    </row>
    <row r="120" spans="1:1">
      <c r="A120" s="170">
        <f>'Anlage 1'!H16</f>
        <v>0</v>
      </c>
    </row>
    <row r="121" spans="1:1">
      <c r="A121" s="170">
        <f>'Anlage 1'!H17</f>
        <v>0</v>
      </c>
    </row>
    <row r="122" spans="1:1">
      <c r="A122" s="170">
        <f>'Anlage 1'!H18</f>
        <v>0</v>
      </c>
    </row>
    <row r="123" spans="1:1">
      <c r="A123" s="170">
        <f>'Anlage 1'!H19</f>
        <v>0</v>
      </c>
    </row>
    <row r="124" spans="1:1">
      <c r="A124" s="170"/>
    </row>
    <row r="125" spans="1:1">
      <c r="A125" s="170">
        <f>'Anlage 1'!E24</f>
        <v>947.23</v>
      </c>
    </row>
    <row r="126" spans="1:1">
      <c r="A126" s="170">
        <f>'Anlage 1'!E25</f>
        <v>26118.5</v>
      </c>
    </row>
    <row r="127" spans="1:1">
      <c r="A127" s="170">
        <f>'Anlage 1'!E26</f>
        <v>0</v>
      </c>
    </row>
    <row r="128" spans="1:1">
      <c r="A128" s="170">
        <f>'Anlage 1'!E27</f>
        <v>13296.2</v>
      </c>
    </row>
    <row r="129" spans="1:1">
      <c r="A129" s="170">
        <f>'Anlage 1'!E28</f>
        <v>750.27</v>
      </c>
    </row>
    <row r="130" spans="1:1">
      <c r="A130" s="170">
        <f>'Anlage 1'!E29</f>
        <v>0</v>
      </c>
    </row>
    <row r="131" spans="1:1">
      <c r="A131" s="170">
        <f>'Anlage 1'!E30</f>
        <v>655.92</v>
      </c>
    </row>
    <row r="132" spans="1:1">
      <c r="A132" s="170">
        <f>'Anlage 1'!E31</f>
        <v>2767.25</v>
      </c>
    </row>
    <row r="133" spans="1:1">
      <c r="A133" s="170">
        <f>'Anlage 1'!E32</f>
        <v>0</v>
      </c>
    </row>
    <row r="134" spans="1:1">
      <c r="A134" s="170">
        <f>'Anlage 1'!E33</f>
        <v>1144.44</v>
      </c>
    </row>
    <row r="135" spans="1:1">
      <c r="A135" s="170">
        <f>'Anlage 1'!E34</f>
        <v>0</v>
      </c>
    </row>
    <row r="136" spans="1:1">
      <c r="A136" s="170"/>
    </row>
    <row r="137" spans="1:1">
      <c r="A137" s="170">
        <f>'Anlage 1'!H24</f>
        <v>0</v>
      </c>
    </row>
    <row r="138" spans="1:1">
      <c r="A138" s="170">
        <f>'Anlage 1'!H25</f>
        <v>0</v>
      </c>
    </row>
    <row r="139" spans="1:1">
      <c r="A139" s="170">
        <f>'Anlage 1'!H26</f>
        <v>0</v>
      </c>
    </row>
    <row r="140" spans="1:1">
      <c r="A140" s="170">
        <f>'Anlage 1'!H27</f>
        <v>0</v>
      </c>
    </row>
    <row r="141" spans="1:1">
      <c r="A141" s="170">
        <f>'Anlage 1'!H28</f>
        <v>0</v>
      </c>
    </row>
    <row r="142" spans="1:1">
      <c r="A142" s="170">
        <f>'Anlage 1'!H29</f>
        <v>0</v>
      </c>
    </row>
    <row r="143" spans="1:1">
      <c r="A143" s="170">
        <f>'Anlage 1'!H30</f>
        <v>0</v>
      </c>
    </row>
    <row r="144" spans="1:1">
      <c r="A144" s="170">
        <f>'Anlage 1'!H31</f>
        <v>0</v>
      </c>
    </row>
    <row r="145" spans="1:1">
      <c r="A145" s="170">
        <f>'Anlage 1'!H32</f>
        <v>0</v>
      </c>
    </row>
    <row r="146" spans="1:1">
      <c r="A146" s="170">
        <f>'Anlage 1'!H33</f>
        <v>0</v>
      </c>
    </row>
    <row r="147" spans="1:1">
      <c r="A147" s="170">
        <f>'Anlage 1'!H34</f>
        <v>0</v>
      </c>
    </row>
    <row r="148" spans="1:1">
      <c r="A148" s="170"/>
    </row>
    <row r="149" spans="1:1">
      <c r="A149" s="168"/>
    </row>
  </sheetData>
  <sheetProtection algorithmName="SHA-512" hashValue="cGumh+HZKRMTQiJEc8R859qwfKdS7fUl2MPKKB5VvBULLf2Ajf8HfJzZKdouNhMUt+8N/KEZEjrfAOuKuOZkKg==" saltValue="abrgMdbC/ZhUzJj1l6tgug==" spinCount="100000" sheet="1" objects="1" scenarios="1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430D-7D8A-47CA-A3C0-AAB4A3681C6B}">
  <dimension ref="A1:R2"/>
  <sheetViews>
    <sheetView topLeftCell="I1" workbookViewId="0">
      <selection activeCell="M25" sqref="M25"/>
    </sheetView>
  </sheetViews>
  <sheetFormatPr baseColWidth="10" defaultRowHeight="12.75"/>
  <cols>
    <col min="1" max="1" width="9.7109375" bestFit="1" customWidth="1"/>
    <col min="3" max="3" width="10.140625" bestFit="1" customWidth="1"/>
    <col min="5" max="5" width="14.7109375" customWidth="1"/>
    <col min="6" max="6" width="14.42578125" customWidth="1"/>
    <col min="7" max="7" width="15.7109375" customWidth="1"/>
    <col min="8" max="8" width="14" customWidth="1"/>
    <col min="10" max="10" width="17.140625" customWidth="1"/>
    <col min="11" max="11" width="13.42578125" customWidth="1"/>
    <col min="12" max="12" width="26.7109375" customWidth="1"/>
    <col min="13" max="13" width="12.42578125" customWidth="1"/>
    <col min="16" max="16" width="22" customWidth="1"/>
    <col min="17" max="17" width="26.5703125" customWidth="1"/>
  </cols>
  <sheetData>
    <row r="1" spans="1:18" ht="47.25">
      <c r="A1" s="185" t="s">
        <v>417</v>
      </c>
      <c r="B1" s="185" t="s">
        <v>418</v>
      </c>
      <c r="C1" s="185" t="s">
        <v>419</v>
      </c>
      <c r="D1" s="185" t="s">
        <v>420</v>
      </c>
      <c r="E1" s="185" t="s">
        <v>413</v>
      </c>
      <c r="F1" s="185" t="s">
        <v>421</v>
      </c>
      <c r="G1" s="185" t="s">
        <v>422</v>
      </c>
      <c r="H1" s="185" t="s">
        <v>423</v>
      </c>
      <c r="I1" s="185" t="s">
        <v>414</v>
      </c>
      <c r="J1" s="191" t="s">
        <v>424</v>
      </c>
      <c r="K1" s="185" t="s">
        <v>425</v>
      </c>
      <c r="L1" s="185" t="s">
        <v>217</v>
      </c>
      <c r="M1" s="186" t="s">
        <v>5</v>
      </c>
      <c r="N1" s="186" t="s">
        <v>6</v>
      </c>
      <c r="O1" s="185" t="s">
        <v>45</v>
      </c>
      <c r="P1" s="185" t="s">
        <v>292</v>
      </c>
      <c r="Q1" s="187" t="s">
        <v>415</v>
      </c>
      <c r="R1" s="187" t="s">
        <v>416</v>
      </c>
    </row>
    <row r="2" spans="1:18" ht="14.25">
      <c r="A2" s="188" t="str">
        <f>Dateneingabe!A4</f>
        <v>Pflegedienst MORO GmbH</v>
      </c>
      <c r="B2" s="188" t="str">
        <f>Dateneingabe!A5</f>
        <v>Provinzialstr. 82</v>
      </c>
      <c r="C2" s="188">
        <f>Dateneingabe!A6</f>
        <v>44388</v>
      </c>
      <c r="D2" s="188" t="str">
        <f>Dateneingabe!C6</f>
        <v>Dortmund</v>
      </c>
      <c r="E2" s="188" t="str">
        <f>Dateneingabe!E4</f>
        <v>Pflegedienst MORO GmbH</v>
      </c>
      <c r="F2" s="188" t="str">
        <f>Dateneingabe!E5</f>
        <v>Provinzialstr. 82</v>
      </c>
      <c r="G2" s="188">
        <f>Dateneingabe!E6</f>
        <v>44388</v>
      </c>
      <c r="H2" s="188" t="str">
        <f>Dateneingabe!F6</f>
        <v>Dortmund</v>
      </c>
      <c r="I2" s="188" t="str">
        <f>Dateneingabe!D8</f>
        <v>460 502 542</v>
      </c>
      <c r="J2" s="192">
        <f>Dateneingabe!E17</f>
        <v>46023</v>
      </c>
      <c r="K2" s="193">
        <f>Dateneingabe!F17</f>
        <v>46387</v>
      </c>
      <c r="L2" s="189" t="str">
        <f>Die_Vergütung_aller_Mitarbeiter_erfolgt_derzeit_nach_dem_Tarif</f>
        <v>regional übliches Entgelt</v>
      </c>
      <c r="M2" s="189">
        <f>Budgetsteigerung!F55</f>
        <v>6.2890000000000001E-2</v>
      </c>
      <c r="N2" s="190">
        <f>Budgetsteigerung!F56</f>
        <v>5.79</v>
      </c>
      <c r="O2" s="190">
        <f>Budgetsteigerung!F57</f>
        <v>7.21</v>
      </c>
      <c r="P2" s="188" t="str">
        <f>Dateneingabe!C13</f>
        <v>Pauschalverhandlung</v>
      </c>
      <c r="Q2" s="196">
        <f>Pflegeassistenz!C49</f>
        <v>7.0200000000000002E-3</v>
      </c>
      <c r="R2" s="194">
        <f>Betreuungskraft!I64</f>
        <v>0</v>
      </c>
    </row>
  </sheetData>
  <sheetProtection algorithmName="SHA-512" hashValue="mabWroZq3yVeswv8z22nwL4Eu8nWe7AoHdG2zMc/XNHhzov/pBJ9O/H0WPaBq8ziwXrVY2mwRjKruN+/qWyoeQ==" saltValue="KRE4g0RCqMdaVKIj5E0nXg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3</vt:i4>
      </vt:variant>
    </vt:vector>
  </HeadingPairs>
  <TitlesOfParts>
    <vt:vector size="11" baseType="lpstr">
      <vt:lpstr>Dateneingabe</vt:lpstr>
      <vt:lpstr>Budgetsteigerung</vt:lpstr>
      <vt:lpstr>DropDown</vt:lpstr>
      <vt:lpstr>Anlage 1</vt:lpstr>
      <vt:lpstr>Pflegeassistenz</vt:lpstr>
      <vt:lpstr>Betreuungskraft</vt:lpstr>
      <vt:lpstr>Export</vt:lpstr>
      <vt:lpstr>Datenexport</vt:lpstr>
      <vt:lpstr>Die_Vergütung_aller_Mitarbeiter_erfolgt_derzeit_nach_dem_Tarif</vt:lpstr>
      <vt:lpstr>Dateneingabe!Druckbereich</vt:lpstr>
      <vt:lpstr>Tarifvertrag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Linden-Ginocchio, Dagmar (NRW)</dc:creator>
  <cp:lastModifiedBy>Anbary Attar, Pedro</cp:lastModifiedBy>
  <cp:lastPrinted>2025-11-23T18:49:08Z</cp:lastPrinted>
  <dcterms:created xsi:type="dcterms:W3CDTF">2012-12-10T09:02:31Z</dcterms:created>
  <dcterms:modified xsi:type="dcterms:W3CDTF">2025-11-23T19:02:08Z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2025-11-11T10:07:03Z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8e3d3553-d4aa-4632-a2ed-a16b79575f3b</vt:lpwstr>
  </property>
  <property fmtid="{D5CDD505-2E9C-101B-9397-08002B2CF9AE}" pid="7" name="MSIP_Label_defa4170-0d19-0005-0004-bc88714345d2_ActionId">
    <vt:lpwstr>41cdbf12-a199-4bf8-97c1-c3532713b8e1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